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anmo\Downloads\"/>
    </mc:Choice>
  </mc:AlternateContent>
  <xr:revisionPtr revIDLastSave="0" documentId="13_ncr:1_{0B5517B6-E3DF-4A28-B4C0-28907C10FE88}" xr6:coauthVersionLast="47" xr6:coauthVersionMax="47" xr10:uidLastSave="{00000000-0000-0000-0000-000000000000}"/>
  <bookViews>
    <workbookView xWindow="0" yWindow="380" windowWidth="19200" windowHeight="10080" activeTab="2" xr2:uid="{00000000-000D-0000-FFFF-FFFF00000000}"/>
  </bookViews>
  <sheets>
    <sheet name="Summary" sheetId="1" r:id="rId1"/>
    <sheet name="KB Audit" sheetId="2" r:id="rId2"/>
    <sheet name="Client Follow-up"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2" i="2" l="1"/>
  <c r="J32" i="2"/>
  <c r="N31" i="2"/>
  <c r="J31" i="2"/>
  <c r="N30" i="2"/>
  <c r="J30" i="2"/>
  <c r="N29" i="2"/>
  <c r="J29" i="2"/>
  <c r="N28" i="2"/>
  <c r="J28" i="2"/>
  <c r="N27" i="2"/>
  <c r="J27" i="2"/>
  <c r="N26" i="2"/>
  <c r="J26" i="2"/>
  <c r="N25" i="2"/>
  <c r="J25" i="2"/>
  <c r="N24" i="2"/>
  <c r="J24" i="2"/>
  <c r="N23" i="2"/>
  <c r="J23" i="2"/>
  <c r="N22" i="2"/>
  <c r="J22" i="2"/>
  <c r="N21" i="2"/>
  <c r="J21" i="2"/>
  <c r="N20" i="2"/>
  <c r="J20" i="2"/>
  <c r="N19" i="2"/>
  <c r="J19" i="2"/>
  <c r="N18" i="2"/>
  <c r="J18" i="2"/>
  <c r="N17" i="2"/>
  <c r="J17" i="2"/>
  <c r="N16" i="2"/>
  <c r="J16" i="2"/>
  <c r="N15" i="2"/>
  <c r="J15" i="2"/>
  <c r="N14" i="2"/>
  <c r="J14" i="2"/>
  <c r="N13" i="2"/>
  <c r="J13" i="2"/>
  <c r="N12" i="2"/>
  <c r="J12" i="2"/>
  <c r="N11" i="2"/>
  <c r="J11" i="2"/>
  <c r="N10" i="2"/>
  <c r="J10" i="2"/>
  <c r="N9" i="2"/>
  <c r="J9" i="2"/>
  <c r="N8" i="2"/>
  <c r="J8" i="2"/>
  <c r="N7" i="2"/>
  <c r="J7" i="2"/>
  <c r="N6" i="2"/>
  <c r="J6" i="2"/>
  <c r="N5" i="2"/>
  <c r="J5" i="2"/>
  <c r="N4" i="2"/>
  <c r="J4" i="2"/>
  <c r="N3" i="2"/>
  <c r="J3" i="2"/>
  <c r="N2" i="2"/>
  <c r="J2" i="2"/>
  <c r="B10" i="1"/>
  <c r="B9" i="1"/>
  <c r="B8" i="1"/>
  <c r="B7" i="1"/>
  <c r="B5" i="1"/>
  <c r="B11" i="1" l="1"/>
  <c r="B6" i="1"/>
</calcChain>
</file>

<file path=xl/sharedStrings.xml><?xml version="1.0" encoding="utf-8"?>
<sst xmlns="http://schemas.openxmlformats.org/spreadsheetml/2006/main" count="476" uniqueCount="248">
  <si>
    <t>IIM AI Assistant - Knowledge Base Audit v1</t>
  </si>
  <si>
    <t>Metric</t>
  </si>
  <si>
    <t>Value</t>
  </si>
  <si>
    <t>Audit interpretation</t>
  </si>
  <si>
    <t>Total KB items</t>
  </si>
  <si>
    <t>Verified items include stable, dynamic and live entries whose official sources are recorded. Dynamic and live entries still require scheduled rechecking. Three entries remain pending client confirmation because official pages conflict or the location is not consistently published.</t>
  </si>
  <si>
    <t>Verified items</t>
  </si>
  <si>
    <t>Stable: retain and review periodically.</t>
  </si>
  <si>
    <t>Stable</t>
  </si>
  <si>
    <t>Dynamic: recheck before release or quotation.</t>
  </si>
  <si>
    <t>Dynamic</t>
  </si>
  <si>
    <t>Live: use the current official page instead of hard-coding details.</t>
  </si>
  <si>
    <t>Live</t>
  </si>
  <si>
    <t>Verify: keep cautious wording until the client confirms the correct position.</t>
  </si>
  <si>
    <t>Needs client confirmation</t>
  </si>
  <si>
    <t>Baseline source: public/knowledge.js, reviewed 13 August 2026.</t>
  </si>
  <si>
    <t>Audit completion rate</t>
  </si>
  <si>
    <t>Three items requiring client confirmation</t>
  </si>
  <si>
    <t>cdpo_expired_policy</t>
  </si>
  <si>
    <t>Expired CDPO policy</t>
  </si>
  <si>
    <t>Official pages differ on whether re-examination is always required.</t>
  </si>
  <si>
    <t>ng_office_lagos</t>
  </si>
  <si>
    <t>Lagos office</t>
  </si>
  <si>
    <t>Official pages show different street numbers: 13 and 35 Association Avenue.</t>
  </si>
  <si>
    <t>ng_office_ibadan</t>
  </si>
  <si>
    <t>Ibadan office</t>
  </si>
  <si>
    <t>The location appears on the Staff Contacts page but not the main contact page.</t>
  </si>
  <si>
    <t>KB ID</t>
  </si>
  <si>
    <t>Category</t>
  </si>
  <si>
    <t>Title</t>
  </si>
  <si>
    <t>Scope</t>
  </si>
  <si>
    <t>Important facts</t>
  </si>
  <si>
    <t>Primary source URL</t>
  </si>
  <si>
    <t>Secondary source URL</t>
  </si>
  <si>
    <t>Last reviewed</t>
  </si>
  <si>
    <t>Source status</t>
  </si>
  <si>
    <t>Audit result</t>
  </si>
  <si>
    <t>Issue / risk</t>
  </si>
  <si>
    <t>Required action</t>
  </si>
  <si>
    <t>Reviewer</t>
  </si>
  <si>
    <t>Recheck due</t>
  </si>
  <si>
    <t>about_iim_overview</t>
  </si>
  <si>
    <t>about</t>
  </si>
  <si>
    <t>About the Institute of Information Management</t>
  </si>
  <si>
    <t>global</t>
  </si>
  <si>
    <t>IIM describes itself as an international professional, membership-driven institute focused on data and information management and related disciplines. It serves professionals working with data, information, records, documents, knowledge, content and archives across public and private organisations. Its activities include professional membership, certification, training, continuing professional development, research/publications, seminars, workshops and conferences.</t>
  </si>
  <si>
    <t>https://iim-africa.org/ng/about-iim/</t>
  </si>
  <si>
    <t>stable</t>
  </si>
  <si>
    <t>No known conflict recorded; periodic source review is still required.</t>
  </si>
  <si>
    <t>Retain the verified entry and recheck during the next scheduled KB review.</t>
  </si>
  <si>
    <t>Tanmoy Bhowmick</t>
  </si>
  <si>
    <t>about_iim_mission_vision</t>
  </si>
  <si>
    <t>IIM Mission and Vision</t>
  </si>
  <si>
    <t>IIM states that its mission is to help information-management professionals remain current with challenges involving information assets, technology and compliance while maintaining standards in certification, competence, research and member value. Its vision is to be recognised as a leading information-management institution in Africa and to influence professional and educational standards in data and information management.</t>
  </si>
  <si>
    <t>iim_global_presence</t>
  </si>
  <si>
    <t>IIM International Presence</t>
  </si>
  <si>
    <t>According to IIM's Nigeria About page, IIM is headquartered in Colorado, USA and has chapters or presence in locations including the UK, Canada, South Africa, Australia, Switzerland, India, Ghana and Nigeria.</t>
  </si>
  <si>
    <t>iim_approvals_registration</t>
  </si>
  <si>
    <t>approvals</t>
  </si>
  <si>
    <t>IIM Registration and Approval Claims</t>
  </si>
  <si>
    <t>global/nigeria</t>
  </si>
  <si>
    <t>According to IIM's official website, IIM is a Colorado nonprofit corporation (Entity ID 20181786160). The site states that it operates as a registered professional body in Nigeria with CAC registration RC 1125723 and cites Federal Ministry of Education reference FME/TED/A&amp;E/ANPB/XLIII/406. The site also states that IIM is licensed by the Nigeria Data Protection Commission (NDPC) to conduct examinations and certify data-protection professionals under the Nigeria Data Protection Act 2023. Formal legal or recognition claims should be presented as statements from IIM's official website unless primary approval documents are supplied by the client.</t>
  </si>
  <si>
    <t>https://iim-africa.org/ng/approvals-accreditation/</t>
  </si>
  <si>
    <t>ng_membership_categories</t>
  </si>
  <si>
    <t>membership</t>
  </si>
  <si>
    <t>Nigeria Membership Categories and Grades</t>
  </si>
  <si>
    <t>Nigeria</t>
  </si>
  <si>
    <t>IIM lists Student, Individual and Corporate membership categories. Nigeria individual grades progress through Student Member (STIIM), Graduate Member (GMIIM), Associate Member (AMIIM), Professional Member (PMIIM), Senior Professional Member (SPMIIM) and Fellow Member (FIIM). Corporate Member uses CORMIIM. Membership applications are subject to IIM approval and active membership requires applicable fees.</t>
  </si>
  <si>
    <t>https://iim-africa.org/ng/grades/</t>
  </si>
  <si>
    <t>ng_membership_grade_eligibility</t>
  </si>
  <si>
    <t>Nigeria Membership Grade Eligibility</t>
  </si>
  <si>
    <t>Student Member is for full-time students in information management or related professional courses, with proof of active study. Graduate Member is for recent graduates and the site says candidates should complete IIM membership pre-induction training before induction. Associate Member is an early-career grade with qualification/experience or prescribed upgrade routes. Professional Member can be reached through degree/HND/OND plus experience routes, recognised IIM professional/master certification, or other qualifications approved by the Membership Committee. Senior Professional Member is for senior professionals with supervisory responsibility, relevant qualifications and substantial post-graduation experience. Fellow Member is IIM's senior grade based on eminence, authority and/or seniority; the page commonly cites about 15 years of IM/IT specialist experience and committee/council approval. Corporate membership is for organisations/government establishments and the page states that the organisation should have at least five employees and provide supporting corporate details.</t>
  </si>
  <si>
    <t>ng_membership_fees</t>
  </si>
  <si>
    <t>Nigeria Membership Fees</t>
  </si>
  <si>
    <t>Nigeria membership fees shown on IIM's official Grades page on 13 August 2026 were: Student - registration exempt, annual subscription USD 50; Graduate - registration exempt, one-time induction USD 60, annual subscription USD 100; Associate - registration USD 100, induction USD 66, annual subscription USD 110; Professional - registration USD 100, induction USD 99, annual subscription USD 180; Senior Professional - registration USD 100, induction USD 134, annual subscription USD 200; Fellow - registration USD 100, induction USD 173, annual subscription USD 242; Corporate - registration USD 100, induction USD 237, annual subscription USD 245. The page states that membership payments are non-refundable. These fees are time-sensitive and should be rechecked before production or if a later review date is reached.</t>
  </si>
  <si>
    <t>dynamic</t>
  </si>
  <si>
    <t>Published fees can change and must not be treated as permanent.</t>
  </si>
  <si>
    <t>Recheck the official source before production release and before quoting the value.</t>
  </si>
  <si>
    <t>membership_benefits</t>
  </si>
  <si>
    <t>Membership Benefits</t>
  </si>
  <si>
    <t>global/Nigeria</t>
  </si>
  <si>
    <t>IIM membership benefits described on the official site include participation in regular, general and special meetings for members in good standing; receiving meeting notices and programme information; eligibility for relevant governance/election participation subject to membership rules; special consideration for seminars, conferences and workshops; access to IIM information resources; and professional development, networking and recognition opportunities.</t>
  </si>
  <si>
    <t>https://iim-africa.org/ng/benefits/</t>
  </si>
  <si>
    <t>ng_membership_upgrade</t>
  </si>
  <si>
    <t>Membership Upgrade</t>
  </si>
  <si>
    <t>Existing IIM members may use continuing professional development and professional activities toward a membership upgrade, subject to IIM requirements. Activities listed include courses/conferences, publications, teaching/tutoring, examination work, relevant projects/consultancy and passing an IIM membership-upgrade examination. Current subscription should be paid before submitting an upgrade application. The page displayed an upgrade fee of NGN 30,000 or USD 150 when reviewed on 13 August 2026. Fellow upgrades remain subject to Membership Committee recommendation and Governing Council ratification. The fee should be treated as dynamic.</t>
  </si>
  <si>
    <t>https://iim-africa.org/ng/membership-upgrade/</t>
  </si>
  <si>
    <t>The displayed upgrade fee is time-sensitive.</t>
  </si>
  <si>
    <t>certification_framework</t>
  </si>
  <si>
    <t>certification</t>
  </si>
  <si>
    <t>IIM Certification Framework</t>
  </si>
  <si>
    <t>IIM describes its professional certifications as competence pathways in data and information management. The framework includes a foundation stage for candidates who do not yet meet professional examination requirements, compulsory Information Management Professional (IMP) Stage I, Stage II and Stage III, and master/specialist certifications. The website lists examples such as CDPP, CDPO-Compliance, PDPS, CDPCO, CRIMP, CHIMP, CDMP, CISP, CGISP, CAMP, CDBMP, CDOMP, CKMP and CLMP.</t>
  </si>
  <si>
    <t>https://iim-africa.org/ng/certifications/</t>
  </si>
  <si>
    <t>certification_process</t>
  </si>
  <si>
    <t>General Certification Process</t>
  </si>
  <si>
    <t>IIM states that candidates generally attend pre-certification training, either online or classroom, before testing unless an exemption applies. Applications and supporting credentials are reviewed before examination eligibility is approved. Education and professional experience/portfolio evidence may be considered in exemption or assessment pathways where IIM criteria are met. IIM states that certification examinations are open to registered members and non-members. The general certification page displayed a non-refundable USD 16 application-processing fee when reviewed on 13 August 2026; this amount is dynamic. Exam-fee refunds may apply only under stated cancellation conditions and with an administration deduction, so exact current refund terms should be confirmed before quoting them.</t>
  </si>
  <si>
    <t>Application and refund amounts or rules may change.</t>
  </si>
  <si>
    <t>cdpo_overview</t>
  </si>
  <si>
    <t>cdpo</t>
  </si>
  <si>
    <t>Certified Data Protection Officer (CDPO)</t>
  </si>
  <si>
    <t>Nigeria/global delivery</t>
  </si>
  <si>
    <t>IIM's Certified Data Protection Officer (CDPO) certification is designed to validate competence in data protection and privacy, including compliance, governance, data protection impact assessments (DPIAs), breach/risk management and organisational compliance support. The official page states that the programme is aligned with the Nigeria Data Protection Act 2023 and references GDPR, the Malabo Convention, Convention 108+ and ISO/IEC 27701.</t>
  </si>
  <si>
    <t>https://iim-africa.org/ng/iim-cdpo-certification/</t>
  </si>
  <si>
    <t>cdpo_eligibility</t>
  </si>
  <si>
    <t>CDPO Eligibility</t>
  </si>
  <si>
    <t>The CDPO page lists eligibility routes including at least two years of experience in data protection, compliance or information security; completion of IIM-accredited DPO training; or a relevant IIM-recognised professional certification. Candidate eligibility and any exemptions should still be confirmed through the IIM certification process for the individual applicant.</t>
  </si>
  <si>
    <t>cdpo_process_exam</t>
  </si>
  <si>
    <t>CDPO Process and Examination</t>
  </si>
  <si>
    <t>The CDPO process described by IIM is to register, attend recognised/approved training, register or schedule the examination, pass and satisfy the applicable requirements, then apply for the certificate/digital badge. The official CDPO page describes the exam as 60 questions in 150 minutes with a 70% passing requirement. Knowledge areas include legal/regulatory frameworks, data-protection principles and compliance, risk management and DPIA, incident response/data breaches, and governance/policies/ethics. The page describes CDPO examinations as available through secure remote proctoring worldwide.</t>
  </si>
  <si>
    <t>cdpo_recertification</t>
  </si>
  <si>
    <t>CDPO Re-Certification</t>
  </si>
  <si>
    <t>The detailed IIM CDPO re-certification SOP states that the CDPO certificate is valid for one year (12 months) and renewal is annual. A minimum of 20 CPD points is required in the certification year. The application window opens 60 days before expiry and the SOP recommends applying at least 30 days before expiry. Required items include CPD evidence/log, the re-certification application, valid identification, professional conduct/compliance declaration and proof of the applicable fee. When reviewed on 13 August 2026, the SOP showed maintenance fees of NGN 50,000 for an IIM Accredited Member and NGN 70,000 for a non-IIM member; these fees are dynamic. The SOP states that applications may be reviewed within five working days and CPD evidence may be audited. Appeals should be submitted in writing to certification@iim-africa.org within 14 days of notification.</t>
  </si>
  <si>
    <t>https://iim-africa.org/ng/iim-cdpo-re-certification/</t>
  </si>
  <si>
    <t>Maintenance fees and process details are time-sensitive.</t>
  </si>
  <si>
    <t>Expired CDPO Certificate</t>
  </si>
  <si>
    <t>IIM's detailed re-certification SOP says an expired CDPO certificate becomes inactive and use of the CDPO designation should stop until reinstatement. The SOP describes reinstatement conditions that can depend on the length or severity of the lapse, with re-examination possible for severe non-compliance. However, an official FAQ also contains a statement that an expired candidate would have to retake the examination, while elsewhere it says re-examination is not required for renewal when requirements are met within the validity period. Because the official pages are not fully consistent, the chatbot must not promise a single expired-certificate outcome. Advise the user to contact certification@iim-africa.org for a case-specific decision.</t>
  </si>
  <si>
    <t>https://iim-africa.org/ng/frequently-asked-questions/</t>
  </si>
  <si>
    <t>verify</t>
  </si>
  <si>
    <t>Official re-certification and FAQ wording is not fully consistent on re-examination after expiry.</t>
  </si>
  <si>
    <t>Obtain written client confirmation; keep cautious wording until resolved.</t>
  </si>
  <si>
    <t>cpd_overview</t>
  </si>
  <si>
    <t>cpd</t>
  </si>
  <si>
    <t>Continuing Professional Development (CPD/MCPD)</t>
  </si>
  <si>
    <t>IIM describes MCPD/CPD as continuing learning used by information-management professionals to maintain and improve knowledge, skills and professional capability. The Nigeria CPD page states that members are expected to make an annual CPD declaration and lists a minimum of 20 CPD points each year. CPD examples include approved webinars/workshops, conferences/seminars, relevant training, publications/research, professional speaking/facilitation and participation in IIM committees, projects or working groups.</t>
  </si>
  <si>
    <t>https://iim-africa.org/ng/continuing-professional-dev/</t>
  </si>
  <si>
    <t>ato_overview</t>
  </si>
  <si>
    <t>training</t>
  </si>
  <si>
    <t>Accredited Training Organisations (ATOs)</t>
  </si>
  <si>
    <t>IIM accredits training organisations/providers against criteria covering trainer competence, course content, training methods, facilities or online platforms, quality assurance, data-protection compliance, ethics, reporting and continuous improvement. Accredited organisations may provide IIM-aligned training and CPD support. Providers are periodically evaluated and can lose accreditation for non-compliance. Because provider accreditation-validity dates change, the chatbot should not treat a permanently hard-coded provider list as current; users asking for a current provider should be directed to IIM's live accredited-provider page or the Training/Certification Department.</t>
  </si>
  <si>
    <t>https://iim-africa.org/ng/training-services/</t>
  </si>
  <si>
    <t>Provider accreditation validity changes over time.</t>
  </si>
  <si>
    <t>training_areas</t>
  </si>
  <si>
    <t>Training and Certification Subject Areas</t>
  </si>
  <si>
    <t>IIM training/certification pages show subject areas including archiving and preservation, archives management, database management, document management, geographic information systems, health information management, information security, knowledge management, library management, records/information management and related data/privacy specialisations.</t>
  </si>
  <si>
    <t>https://iim-africa.org/ng/iim-certificate-training/</t>
  </si>
  <si>
    <t>cert_verification</t>
  </si>
  <si>
    <t>verification</t>
  </si>
  <si>
    <t>Digital Badges and Certification Verification</t>
  </si>
  <si>
    <t>IIM digital badges are recognition and visibility tools for certifications, membership/fellowship and event/training participation. IIM states that a digital badge is not a substitute for an official certificate or formal verification. Certification or status claims should be verified through official IIM/NDPC verification channels. Badges should only be used while the underlying membership or certification is valid, must not be altered or used to imply regulatory authority, and certification-related badges should not continue to be used after expiry, suspension or withdrawal.</t>
  </si>
  <si>
    <t>https://iim-africa.org/ng/iim-digital-badges-certification-verification/</t>
  </si>
  <si>
    <t>publications</t>
  </si>
  <si>
    <t>resources</t>
  </si>
  <si>
    <t>IIM Research and Publications</t>
  </si>
  <si>
    <t>IIM publication and research resources listed on the official site include the IIM Journal for Data and Information Management (IIM-JDIM), IM World Magazine and RIM Africa Journal. The website also exposes research, webinars and working-group resources. Issue and volume information changes over time, so users seeking the latest issue should be directed to the current publications page.</t>
  </si>
  <si>
    <t>https://iim-africa.org/ng/our-publications/</t>
  </si>
  <si>
    <t>Issue and volume information changes over time.</t>
  </si>
  <si>
    <t>consultancy_services</t>
  </si>
  <si>
    <t>services</t>
  </si>
  <si>
    <t>Consultancy and Organisational Services</t>
  </si>
  <si>
    <t>IIM consultancy and organisational services described on the official website include policy and procedure development, programme support and management, records management and retention-schedule appraisal, business-process modelling, information strategy/governance, consultancy for government and private organisations, certification programmes, awareness/change-management support, and participation in professional and educational initiatives.</t>
  </si>
  <si>
    <t>https://iim-africa.org/ng/consultancy-services/</t>
  </si>
  <si>
    <t>privacy_summary</t>
  </si>
  <si>
    <t>privacy</t>
  </si>
  <si>
    <t>IIM Data Protection and Privacy Summary</t>
  </si>
  <si>
    <t>IIM's privacy policy describes collection of identity/contact, membership, payment, qualification/exam, MCPD, employment, query/complaint, event/training media and potentially biometric data through membership applications, examination registration, events/training, customer service and some third-party sources. Stated purposes include membership administration, qualification/accreditation records, training/study materials, exams, CPD, support, service improvement, regulatory/disciplinary functions and marketing. The policy allows lawful/necessary sharing with relevant service providers, employers, regulators and legal authorities and states that IIM does not sell personal information. Listed rights include access, withdrawal of consent where applicable, portability in some circumstances, rectification and erasure in specific situations. Privacy/data-processing enquiries can be directed to dpo@iim-africa.org. The website states the policy was last updated 10 February 2025.</t>
  </si>
  <si>
    <t>https://iim-africa.org/ng/data-protection-and-privacy-policy/</t>
  </si>
  <si>
    <t>contact_departments</t>
  </si>
  <si>
    <t>contact</t>
  </si>
  <si>
    <t>IIM Department Contacts</t>
  </si>
  <si>
    <t>IIM departmental contacts: general information - info@iim-africa.org; membership - membership@iim-africa.org; training - training@iim-africa.org; certification/CDPO - certification@iim-africa.org and +234 808 377 3640; registrar - registrar@iim-africa.org; privacy/data-protection - dpo@iim-africa.org. Nigeria general phone numbers shown across official pages include +234 705 8000 405, +234 812 3695 594 and +234 813 6021 453.</t>
  </si>
  <si>
    <t>https://iim-africa.org/ng/staff-contacts/</t>
  </si>
  <si>
    <t>ng_office_abuja</t>
  </si>
  <si>
    <t>IIM Abuja Office</t>
  </si>
  <si>
    <t>IIM's Abuja office is listed as 3rd Floor, Upper Grace Plaza, Plot 217 Shettima Munguno Crescent, behind Julius Berger Yard, Utako, Abuja, Nigeria.</t>
  </si>
  <si>
    <t>https://iim-africa.org/ng/contact/</t>
  </si>
  <si>
    <t>IIM Lagos Office</t>
  </si>
  <si>
    <t>IIM has an office on Association Avenue, Ilupeju, Lagos, Nigeria. Official IIM pages currently conflict on the street number: some pages show 13 Association Avenue while the Staff Contacts page shows SAIM House 35, Association Avenue. Until IIM confirms the current address, the chatbot should avoid stating a street number as certain and should provide the department email or phone for confirmation.</t>
  </si>
  <si>
    <t>Official pages conflict between 13 Association Avenue and SAIM House 35, Association Avenue.</t>
  </si>
  <si>
    <t>IIM Ibadan Office</t>
  </si>
  <si>
    <t>IIM's Staff Contacts page lists an Ibadan location at Shop 14, Dokal Shopping Plaza, off Orita Police Station, Orita Challenge, Ibadan, Oyo State, Nigeria, with phone +234 907 0556 463. Because this location appears on the Staff Contacts page rather than the main contact page, confirm it with IIM before treating it as a permanent primary office address.</t>
  </si>
  <si>
    <t>The address appears on the Staff Contacts page but not the main contact page.</t>
  </si>
  <si>
    <t>au_contact</t>
  </si>
  <si>
    <t>IIM Australia Contact</t>
  </si>
  <si>
    <t>Australia</t>
  </si>
  <si>
    <t>IIM Australia lists its contact as 23/122 Johnson Road Rd, Hillcrest QLD 4118, Australia; phone +61 451 109 163; email info@iim-africa.org. Australian membership grades broadly mirror Student, Graduate, Associate, Professional, Senior Professional, Fellow and Corporate grades. Australian fees are shown in AUD on the Australia Grades page and must not be replaced with Nigeria's USD fee schedule.</t>
  </si>
  <si>
    <t>https://iim-africa.org/au/</t>
  </si>
  <si>
    <t>sa_contact</t>
  </si>
  <si>
    <t>IIM South Africa Contact</t>
  </si>
  <si>
    <t>South Africa</t>
  </si>
  <si>
    <t>IIM South Africa's contact page lists 52 Monte Carlo Drive, Centurion, Pretoria 0157, South Africa; phone +27 61 539 2837; email training@iim-africa.org. Placeholder 'Lorem ipsum' text visible on the page is not valid IIM knowledge and must be ignored.</t>
  </si>
  <si>
    <t>https://iim-africa.org/sa/contact/</t>
  </si>
  <si>
    <t>events_dynamic_policy</t>
  </si>
  <si>
    <t>events</t>
  </si>
  <si>
    <t>Events and Conferences</t>
  </si>
  <si>
    <t>IIM runs conferences, conventions, webinars, workshops and other professional events. Event dates, speakers, venues, registration status and costs are time-sensitive and past events remain visible on some IIM pages. The chatbot should not rely on permanently hard-coded event dates. For a current or future event, direct the user to the live IIM event page or the relevant IIM team.</t>
  </si>
  <si>
    <t>https://iim-africa.org/ng/conferences-events/</t>
  </si>
  <si>
    <t>live</t>
  </si>
  <si>
    <t>Dates, speakers, venues, registration status and costs are live information.</t>
  </si>
  <si>
    <t>Use the live official page or responsible IIM team; do not hard-code current details.</t>
  </si>
  <si>
    <t>dynamic_data_policy</t>
  </si>
  <si>
    <t>governance</t>
  </si>
  <si>
    <t>Dynamic and Verified Data Handling</t>
  </si>
  <si>
    <t>system</t>
  </si>
  <si>
    <t>Fees, event calendars, training dates, provider accreditation validity and live certification status can change. If a stored review date is old or the user asks for a live/current status, the chatbot should say the information may have changed and direct the user to the current IIM website or responsible department. The chatbot must never infer approval, eligibility, certification status or examination outcome for a specific person from general information.</t>
  </si>
  <si>
    <t>https://www.iim-africa.org/</t>
  </si>
  <si>
    <t>Client Follow-up Register</t>
  </si>
  <si>
    <t>Priority</t>
  </si>
  <si>
    <t>Related KB ID</t>
  </si>
  <si>
    <t>Area</t>
  </si>
  <si>
    <t>Confirmation needed</t>
  </si>
  <si>
    <t>Why it matters</t>
  </si>
  <si>
    <t>Suggested owner</t>
  </si>
  <si>
    <t>Status</t>
  </si>
  <si>
    <t>Critical</t>
  </si>
  <si>
    <t>Certification</t>
  </si>
  <si>
    <t>Confirm the official expired-CDPO reinstatement and re-examination rule.</t>
  </si>
  <si>
    <t>Prevents contradictory certification guidance.</t>
  </si>
  <si>
    <t>IIM Certification team</t>
  </si>
  <si>
    <t>Open</t>
  </si>
  <si>
    <t>Contact</t>
  </si>
  <si>
    <t>Confirm whether the current Lagos street number is 13 or 35 Association Avenue.</t>
  </si>
  <si>
    <t>Prevents users being directed to the wrong address.</t>
  </si>
  <si>
    <t>IIM Administration</t>
  </si>
  <si>
    <t>High</t>
  </si>
  <si>
    <t>Confirm whether the Ibadan location is a current permanent IIM office.</t>
  </si>
  <si>
    <t>The location is not consistently shown across official pages.</t>
  </si>
  <si>
    <t>Confirm whether CIM certification exists or was a naming error.</t>
  </si>
  <si>
    <t>The client information request mentions CIM, while public evidence currently supports CDPO.</t>
  </si>
  <si>
    <t>Content</t>
  </si>
  <si>
    <t>Provide the complete approved FAQ list beyond the public CDPO renewal FAQ.</t>
  </si>
  <si>
    <t>Broader verified content is needed for production coverage.</t>
  </si>
  <si>
    <t>IIM content owner</t>
  </si>
  <si>
    <t>Training</t>
  </si>
  <si>
    <t>Provide the current training calendar, class dates and pricing.</t>
  </si>
  <si>
    <t>The public site describes subject areas but not a complete current schedule.</t>
  </si>
  <si>
    <t>IIM Training team</t>
  </si>
  <si>
    <t>Escalation</t>
  </si>
  <si>
    <t>Confirm where escalated chats should be sent.</t>
  </si>
  <si>
    <t>The chatbot needs a reliable human hand-off destination.</t>
  </si>
  <si>
    <t>Client project owner</t>
  </si>
  <si>
    <t>Confirm topics that must always be transferred to a human.</t>
  </si>
  <si>
    <t>Prevents inappropriate automated decisions or advice.</t>
  </si>
  <si>
    <t>Medium</t>
  </si>
  <si>
    <t>Technical</t>
  </si>
  <si>
    <t>Confirm the production website platform and responsible technical contact.</t>
  </si>
  <si>
    <t>Required for deployment and widget integration planning.</t>
  </si>
  <si>
    <t>Client technical owner</t>
  </si>
  <si>
    <t>Branding</t>
  </si>
  <si>
    <t>Confirm the preferred chatbot name, tone and label.</t>
  </si>
  <si>
    <t>Required before finalising the production persona.</t>
  </si>
  <si>
    <t>Client communications</t>
  </si>
  <si>
    <t>Approvals</t>
  </si>
  <si>
    <t>Confirm who signs off chatbot answers before go-live.</t>
  </si>
  <si>
    <t>Defines accountability for approved knowledge.</t>
  </si>
  <si>
    <t>Privacy</t>
  </si>
  <si>
    <t>Confirm final data-retention, logging and privacy requirements.</t>
  </si>
  <si>
    <t>Required before public deployment and user-data collection.</t>
  </si>
  <si>
    <t>Client privacy 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</si>
</sst>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3">
    <font>
      <sz val="11"/>
      <name val="Carlito"/>
    </font>
    <font>
      <b/>
      <sz val="11"/>
      <color rgb="FFFFFFFF"/>
      <name val="Carlito"/>
    </font>
    <font>
      <b/>
      <sz val="11"/>
      <color rgb="FF991B1B"/>
      <name val="Carlito"/>
    </font>
  </fonts>
  <fills count="8">
    <fill>
      <patternFill patternType="none"/>
    </fill>
    <fill>
      <patternFill patternType="gray125"/>
    </fill>
    <fill>
      <patternFill patternType="solid">
        <fgColor rgb="FF17365D"/>
      </patternFill>
    </fill>
    <fill>
      <patternFill patternType="solid">
        <fgColor rgb="FF2F75B5"/>
      </patternFill>
    </fill>
    <fill>
      <patternFill patternType="solid">
        <fgColor rgb="FFFFFFFF"/>
      </patternFill>
    </fill>
    <fill>
      <patternFill patternType="solid">
        <fgColor rgb="FFD9EAF7"/>
      </patternFill>
    </fill>
    <fill>
      <patternFill patternType="solid">
        <fgColor rgb="FFB91C1C"/>
      </patternFill>
    </fill>
    <fill>
      <patternFill patternType="solid">
        <fgColor rgb="FFFEE2E2"/>
      </patternFill>
    </fill>
  </fills>
  <borders count="27">
    <border>
      <left/>
      <right/>
      <top/>
      <bottom/>
      <diagonal/>
    </border>
    <border>
      <left/>
      <right style="thin">
        <color rgb="FFD1D5DB"/>
      </right>
      <top/>
      <bottom style="thin">
        <color rgb="FFD1D5DB"/>
      </bottom>
      <diagonal/>
    </border>
    <border>
      <left style="thin">
        <color rgb="FFD1D5DB"/>
      </left>
      <right style="thin">
        <color rgb="FFD1D5DB"/>
      </right>
      <top/>
      <bottom style="thin">
        <color rgb="FFD1D5DB"/>
      </bottom>
      <diagonal/>
    </border>
    <border>
      <left style="thin">
        <color rgb="FFD1D5DB"/>
      </left>
      <right/>
      <top/>
      <bottom style="thin">
        <color rgb="FFD1D5DB"/>
      </bottom>
      <diagonal/>
    </border>
    <border>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
      <left/>
      <right style="thin">
        <color rgb="FFD1D5DB"/>
      </right>
      <top style="thin">
        <color rgb="FFD1D5DB"/>
      </top>
      <bottom/>
      <diagonal/>
    </border>
    <border>
      <left style="thin">
        <color rgb="FFD1D5DB"/>
      </left>
      <right style="thin">
        <color rgb="FFD1D5DB"/>
      </right>
      <top style="thin">
        <color rgb="FFD1D5DB"/>
      </top>
      <bottom/>
      <diagonal/>
    </border>
    <border>
      <left style="thin">
        <color rgb="FFD1D5DB"/>
      </left>
      <right/>
      <top style="thin">
        <color rgb="FFD1D5DB"/>
      </top>
      <bottom/>
      <diagonal/>
    </border>
    <border>
      <left style="thin">
        <color rgb="FF2F75B5"/>
      </left>
      <right/>
      <top style="thin">
        <color rgb="FF2F75B5"/>
      </top>
      <bottom/>
      <diagonal/>
    </border>
    <border>
      <left/>
      <right/>
      <top style="thin">
        <color rgb="FF2F75B5"/>
      </top>
      <bottom/>
      <diagonal/>
    </border>
    <border>
      <left/>
      <right style="thin">
        <color rgb="FF2F75B5"/>
      </right>
      <top style="thin">
        <color rgb="FF2F75B5"/>
      </top>
      <bottom/>
      <diagonal/>
    </border>
    <border>
      <left style="thin">
        <color rgb="FF2F75B5"/>
      </left>
      <right/>
      <top/>
      <bottom/>
      <diagonal/>
    </border>
    <border>
      <left/>
      <right style="thin">
        <color rgb="FF2F75B5"/>
      </right>
      <top/>
      <bottom/>
      <diagonal/>
    </border>
    <border>
      <left style="thin">
        <color rgb="FF2F75B5"/>
      </left>
      <right/>
      <top/>
      <bottom style="thin">
        <color rgb="FF2F75B5"/>
      </bottom>
      <diagonal/>
    </border>
    <border>
      <left/>
      <right/>
      <top/>
      <bottom style="thin">
        <color rgb="FF2F75B5"/>
      </bottom>
      <diagonal/>
    </border>
    <border>
      <left/>
      <right style="thin">
        <color rgb="FF2F75B5"/>
      </right>
      <top/>
      <bottom style="thin">
        <color rgb="FF2F75B5"/>
      </bottom>
      <diagonal/>
    </border>
    <border>
      <left/>
      <right style="thin">
        <color rgb="FFFCA5A5"/>
      </right>
      <top/>
      <bottom style="thin">
        <color rgb="FFFCA5A5"/>
      </bottom>
      <diagonal/>
    </border>
    <border>
      <left style="thin">
        <color rgb="FFFCA5A5"/>
      </left>
      <right style="thin">
        <color rgb="FFFCA5A5"/>
      </right>
      <top/>
      <bottom style="thin">
        <color rgb="FFFCA5A5"/>
      </bottom>
      <diagonal/>
    </border>
    <border>
      <left style="thin">
        <color rgb="FFFCA5A5"/>
      </left>
      <right/>
      <top/>
      <bottom style="thin">
        <color rgb="FFFCA5A5"/>
      </bottom>
      <diagonal/>
    </border>
    <border>
      <left/>
      <right style="thin">
        <color rgb="FFFCA5A5"/>
      </right>
      <top style="thin">
        <color rgb="FFFCA5A5"/>
      </top>
      <bottom style="thin">
        <color rgb="FFFCA5A5"/>
      </bottom>
      <diagonal/>
    </border>
    <border>
      <left style="thin">
        <color rgb="FFFCA5A5"/>
      </left>
      <right style="thin">
        <color rgb="FFFCA5A5"/>
      </right>
      <top style="thin">
        <color rgb="FFFCA5A5"/>
      </top>
      <bottom style="thin">
        <color rgb="FFFCA5A5"/>
      </bottom>
      <diagonal/>
    </border>
    <border>
      <left style="thin">
        <color rgb="FFFCA5A5"/>
      </left>
      <right/>
      <top style="thin">
        <color rgb="FFFCA5A5"/>
      </top>
      <bottom style="thin">
        <color rgb="FFFCA5A5"/>
      </bottom>
      <diagonal/>
    </border>
    <border>
      <left/>
      <right style="thin">
        <color rgb="FFFCA5A5"/>
      </right>
      <top style="thin">
        <color rgb="FFFCA5A5"/>
      </top>
      <bottom/>
      <diagonal/>
    </border>
    <border>
      <left style="thin">
        <color rgb="FFFCA5A5"/>
      </left>
      <right style="thin">
        <color rgb="FFFCA5A5"/>
      </right>
      <top style="thin">
        <color rgb="FFFCA5A5"/>
      </top>
      <bottom/>
      <diagonal/>
    </border>
    <border>
      <left style="thin">
        <color rgb="FFFCA5A5"/>
      </left>
      <right/>
      <top style="thin">
        <color rgb="FFFCA5A5"/>
      </top>
      <bottom/>
      <diagonal/>
    </border>
  </borders>
  <cellStyleXfs count="1">
    <xf numFmtId="0" fontId="0" fillId="0" borderId="0"/>
  </cellStyleXfs>
  <cellXfs count="38">
    <xf numFmtId="0" fontId="0" fillId="0" borderId="0" xfId="0"/>
    <xf numFmtId="0" fontId="0" fillId="0" borderId="0" xfId="0" applyAlignment="1">
      <alignmen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4" xfId="0" applyBorder="1" applyAlignment="1">
      <alignment vertical="top" wrapText="1"/>
    </xf>
    <xf numFmtId="0" fontId="0" fillId="0" borderId="5"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164" fontId="0" fillId="0" borderId="5" xfId="0" applyNumberFormat="1" applyBorder="1" applyAlignment="1">
      <alignment vertical="top" wrapText="1"/>
    </xf>
    <xf numFmtId="164" fontId="0" fillId="0" borderId="8" xfId="0" applyNumberFormat="1" applyBorder="1" applyAlignment="1">
      <alignment vertical="top" wrapText="1"/>
    </xf>
    <xf numFmtId="164" fontId="0" fillId="0" borderId="6" xfId="0" applyNumberFormat="1" applyBorder="1" applyAlignment="1">
      <alignment vertical="top" wrapText="1"/>
    </xf>
    <xf numFmtId="164" fontId="0" fillId="0" borderId="9" xfId="0" applyNumberFormat="1" applyBorder="1" applyAlignment="1">
      <alignment vertical="top" wrapText="1"/>
    </xf>
    <xf numFmtId="0" fontId="1" fillId="3" borderId="0" xfId="0" applyFont="1" applyFill="1" applyAlignment="1">
      <alignment horizontal="center"/>
    </xf>
    <xf numFmtId="0" fontId="0" fillId="4" borderId="5" xfId="0" applyFill="1" applyBorder="1"/>
    <xf numFmtId="165" fontId="0" fillId="4" borderId="5" xfId="0" applyNumberFormat="1" applyFill="1" applyBorder="1"/>
    <xf numFmtId="0" fontId="2" fillId="7" borderId="18" xfId="0" applyFont="1" applyFill="1" applyBorder="1" applyAlignment="1">
      <alignment wrapText="1"/>
    </xf>
    <xf numFmtId="0" fontId="0" fillId="7" borderId="19" xfId="0" applyFill="1" applyBorder="1" applyAlignment="1">
      <alignment wrapText="1"/>
    </xf>
    <xf numFmtId="0" fontId="0" fillId="7" borderId="20" xfId="0" applyFill="1" applyBorder="1" applyAlignment="1">
      <alignment wrapText="1"/>
    </xf>
    <xf numFmtId="0" fontId="2" fillId="7" borderId="21" xfId="0" applyFont="1" applyFill="1" applyBorder="1" applyAlignment="1">
      <alignment wrapText="1"/>
    </xf>
    <xf numFmtId="0" fontId="0" fillId="7" borderId="22" xfId="0" applyFill="1" applyBorder="1" applyAlignment="1">
      <alignment wrapText="1"/>
    </xf>
    <xf numFmtId="0" fontId="0" fillId="7" borderId="23" xfId="0" applyFill="1" applyBorder="1" applyAlignment="1">
      <alignment wrapText="1"/>
    </xf>
    <xf numFmtId="0" fontId="2" fillId="7" borderId="24" xfId="0" applyFont="1" applyFill="1" applyBorder="1" applyAlignment="1">
      <alignment wrapText="1"/>
    </xf>
    <xf numFmtId="0" fontId="0" fillId="7" borderId="25" xfId="0" applyFill="1" applyBorder="1" applyAlignment="1">
      <alignment wrapText="1"/>
    </xf>
    <xf numFmtId="0" fontId="0" fillId="7" borderId="26" xfId="0" applyFill="1" applyBorder="1" applyAlignment="1">
      <alignment wrapText="1"/>
    </xf>
    <xf numFmtId="0" fontId="1" fillId="3" borderId="0" xfId="0" applyFont="1" applyFill="1" applyAlignment="1">
      <alignment horizontal="center" vertical="center" wrapText="1"/>
    </xf>
    <xf numFmtId="0" fontId="1" fillId="2" borderId="0" xfId="0" applyFont="1" applyFill="1" applyAlignment="1">
      <alignment horizontal="center" vertical="center"/>
    </xf>
    <xf numFmtId="0" fontId="1" fillId="3" borderId="0" xfId="0" applyFont="1" applyFill="1" applyAlignment="1">
      <alignment horizontal="center"/>
    </xf>
    <xf numFmtId="0" fontId="0" fillId="5" borderId="10" xfId="0" applyFill="1" applyBorder="1" applyAlignment="1">
      <alignment vertical="center" wrapText="1"/>
    </xf>
    <xf numFmtId="0" fontId="0" fillId="5" borderId="11" xfId="0" applyFill="1" applyBorder="1" applyAlignment="1">
      <alignment vertical="center" wrapText="1"/>
    </xf>
    <xf numFmtId="0" fontId="0" fillId="5" borderId="12" xfId="0" applyFill="1" applyBorder="1" applyAlignment="1">
      <alignment vertical="center" wrapText="1"/>
    </xf>
    <xf numFmtId="0" fontId="0" fillId="5" borderId="13" xfId="0" applyFill="1" applyBorder="1" applyAlignment="1">
      <alignment vertical="center" wrapText="1"/>
    </xf>
    <xf numFmtId="0" fontId="0" fillId="5" borderId="0" xfId="0" applyFill="1" applyAlignment="1">
      <alignment vertical="center" wrapText="1"/>
    </xf>
    <xf numFmtId="0" fontId="0" fillId="5" borderId="14" xfId="0" applyFill="1" applyBorder="1" applyAlignment="1">
      <alignment vertical="center" wrapText="1"/>
    </xf>
    <xf numFmtId="0" fontId="0" fillId="5" borderId="15" xfId="0" applyFill="1" applyBorder="1" applyAlignment="1">
      <alignment vertical="center" wrapText="1"/>
    </xf>
    <xf numFmtId="0" fontId="0" fillId="5" borderId="16" xfId="0" applyFill="1" applyBorder="1" applyAlignment="1">
      <alignment vertical="center" wrapText="1"/>
    </xf>
    <xf numFmtId="0" fontId="0" fillId="5" borderId="17" xfId="0" applyFill="1" applyBorder="1" applyAlignment="1">
      <alignment vertical="center" wrapText="1"/>
    </xf>
    <xf numFmtId="0" fontId="1" fillId="6" borderId="0" xfId="0" applyFont="1" applyFill="1" applyAlignment="1">
      <alignment horizontal="center"/>
    </xf>
  </cellXfs>
  <cellStyles count="1">
    <cellStyle name="Normal" xfId="0" builtinId="0"/>
  </cellStyles>
  <dxfs count="7">
    <dxf>
      <font>
        <b/>
        <color rgb="FF1E40AF"/>
      </font>
      <fill>
        <patternFill patternType="solid">
          <bgColor rgb="FFDBEAFE"/>
        </patternFill>
      </fill>
    </dxf>
    <dxf>
      <font>
        <b/>
        <color rgb="FF92400E"/>
      </font>
      <fill>
        <patternFill patternType="solid">
          <bgColor rgb="FFFEF3C7"/>
        </patternFill>
      </fill>
    </dxf>
    <dxf>
      <font>
        <b/>
        <color rgb="FF991B1B"/>
      </font>
      <fill>
        <patternFill patternType="solid">
          <bgColor rgb="FFFEE2E2"/>
        </patternFill>
      </fill>
    </dxf>
    <dxf>
      <font>
        <color rgb="FF1E40AF"/>
      </font>
      <fill>
        <patternFill patternType="solid">
          <bgColor rgb="FFDBEAFE"/>
        </patternFill>
      </fill>
    </dxf>
    <dxf>
      <font>
        <color rgb="FF991B1B"/>
      </font>
      <fill>
        <patternFill patternType="solid">
          <bgColor rgb="FFFEE2E2"/>
        </patternFill>
      </fill>
    </dxf>
    <dxf>
      <font>
        <color rgb="FF92400E"/>
      </font>
      <fill>
        <patternFill patternType="solid">
          <bgColor rgb="FFFEF3C7"/>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KnowledgeAuditTable" displayName="KnowledgeAuditTable" ref="A1:N32" totalsRowShown="0">
  <tableColumns count="14">
    <tableColumn id="1" xr3:uid="{00000000-0010-0000-0000-000001000000}" name="KB ID"/>
    <tableColumn id="2" xr3:uid="{00000000-0010-0000-0000-000002000000}" name="Category"/>
    <tableColumn id="3" xr3:uid="{00000000-0010-0000-0000-000003000000}" name="Title"/>
    <tableColumn id="4" xr3:uid="{00000000-0010-0000-0000-000004000000}" name="Scope"/>
    <tableColumn id="5" xr3:uid="{00000000-0010-0000-0000-000005000000}" name="Important facts"/>
    <tableColumn id="6" xr3:uid="{00000000-0010-0000-0000-000006000000}" name="Primary source URL"/>
    <tableColumn id="7" xr3:uid="{00000000-0010-0000-0000-000007000000}" name="Secondary source URL"/>
    <tableColumn id="8" xr3:uid="{00000000-0010-0000-0000-000008000000}" name="Last reviewed"/>
    <tableColumn id="9" xr3:uid="{00000000-0010-0000-0000-000009000000}" name="Source status"/>
    <tableColumn id="10" xr3:uid="{00000000-0010-0000-0000-00000A000000}" name="Audit result"/>
    <tableColumn id="11" xr3:uid="{00000000-0010-0000-0000-00000B000000}" name="Issue / risk"/>
    <tableColumn id="12" xr3:uid="{00000000-0010-0000-0000-00000C000000}" name="Required action"/>
    <tableColumn id="13" xr3:uid="{00000000-0010-0000-0000-00000D000000}" name="Reviewer"/>
    <tableColumn id="14" xr3:uid="{00000000-0010-0000-0000-00000E000000}" name="Recheck d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ientFollowUpTable" displayName="ClientFollowUpTable" ref="A4:G16" totalsRowShown="0">
  <tableColumns count="7">
    <tableColumn id="1" xr3:uid="{00000000-0010-0000-0100-000001000000}" name="Priority"/>
    <tableColumn id="2" xr3:uid="{00000000-0010-0000-0100-000002000000}" name="Related KB ID"/>
    <tableColumn id="3" xr3:uid="{00000000-0010-0000-0100-000003000000}" name="Area"/>
    <tableColumn id="4" xr3:uid="{00000000-0010-0000-0100-000004000000}" name="Confirmation needed"/>
    <tableColumn id="5" xr3:uid="{00000000-0010-0000-0100-000005000000}" name="Why it matters"/>
    <tableColumn id="6" xr3:uid="{00000000-0010-0000-0100-000006000000}" name="Suggested owner"/>
    <tableColumn id="7" xr3:uid="{00000000-0010-0000-0100-000007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showGridLines="0" topLeftCell="A7" workbookViewId="0">
      <selection sqref="A1:H2"/>
    </sheetView>
  </sheetViews>
  <sheetFormatPr defaultRowHeight="14"/>
  <cols>
    <col min="1" max="1" width="27" customWidth="1"/>
    <col min="2" max="2" width="18" customWidth="1"/>
    <col min="3" max="3" width="44" customWidth="1"/>
    <col min="4" max="8" width="18" customWidth="1"/>
  </cols>
  <sheetData>
    <row r="1" spans="1:8">
      <c r="A1" s="26" t="s">
        <v>0</v>
      </c>
      <c r="B1" s="26" t="s">
        <v>0</v>
      </c>
      <c r="C1" s="26" t="s">
        <v>0</v>
      </c>
      <c r="D1" s="26" t="s">
        <v>0</v>
      </c>
      <c r="E1" s="26" t="s">
        <v>0</v>
      </c>
      <c r="F1" s="26" t="s">
        <v>0</v>
      </c>
      <c r="G1" s="26" t="s">
        <v>0</v>
      </c>
      <c r="H1" s="26" t="s">
        <v>0</v>
      </c>
    </row>
    <row r="2" spans="1:8">
      <c r="A2" s="26" t="s">
        <v>0</v>
      </c>
      <c r="B2" s="26" t="s">
        <v>0</v>
      </c>
      <c r="C2" s="26" t="s">
        <v>0</v>
      </c>
      <c r="D2" s="26" t="s">
        <v>0</v>
      </c>
      <c r="E2" s="26" t="s">
        <v>0</v>
      </c>
      <c r="F2" s="26" t="s">
        <v>0</v>
      </c>
      <c r="G2" s="26" t="s">
        <v>0</v>
      </c>
      <c r="H2" s="26" t="s">
        <v>0</v>
      </c>
    </row>
    <row r="4" spans="1:8" ht="15" customHeight="1">
      <c r="A4" s="13" t="s">
        <v>1</v>
      </c>
      <c r="B4" s="13" t="s">
        <v>2</v>
      </c>
      <c r="D4" s="27" t="s">
        <v>3</v>
      </c>
      <c r="E4" s="27" t="s">
        <v>3</v>
      </c>
      <c r="F4" s="27" t="s">
        <v>3</v>
      </c>
      <c r="G4" s="27" t="s">
        <v>3</v>
      </c>
      <c r="H4" s="27" t="s">
        <v>3</v>
      </c>
    </row>
    <row r="5" spans="1:8" ht="39.5" customHeight="1">
      <c r="A5" s="14" t="s">
        <v>4</v>
      </c>
      <c r="B5" s="14">
        <f>COUNTA('KB Audit'!$A$2:$A$32)</f>
        <v>31</v>
      </c>
      <c r="D5" s="28" t="s">
        <v>5</v>
      </c>
      <c r="E5" s="29"/>
      <c r="F5" s="29"/>
      <c r="G5" s="29"/>
      <c r="H5" s="30"/>
    </row>
    <row r="6" spans="1:8" ht="15" customHeight="1">
      <c r="A6" s="14" t="s">
        <v>6</v>
      </c>
      <c r="B6" s="14">
        <f>B5-B10</f>
        <v>28</v>
      </c>
      <c r="D6" s="31" t="s">
        <v>7</v>
      </c>
      <c r="E6" s="32"/>
      <c r="F6" s="32"/>
      <c r="G6" s="32"/>
      <c r="H6" s="33"/>
    </row>
    <row r="7" spans="1:8" ht="15" customHeight="1">
      <c r="A7" s="14" t="s">
        <v>8</v>
      </c>
      <c r="B7" s="14">
        <f>COUNTIF('KB Audit'!$I$2:$I$32,"stable")</f>
        <v>21</v>
      </c>
      <c r="D7" s="31" t="s">
        <v>9</v>
      </c>
      <c r="E7" s="32"/>
      <c r="F7" s="32"/>
      <c r="G7" s="32"/>
      <c r="H7" s="33"/>
    </row>
    <row r="8" spans="1:8" ht="15" customHeight="1">
      <c r="A8" s="14" t="s">
        <v>10</v>
      </c>
      <c r="B8" s="14">
        <f>COUNTIF('KB Audit'!$I$2:$I$32,"dynamic")</f>
        <v>6</v>
      </c>
      <c r="D8" s="31" t="s">
        <v>11</v>
      </c>
      <c r="E8" s="32"/>
      <c r="F8" s="32"/>
      <c r="G8" s="32"/>
      <c r="H8" s="33"/>
    </row>
    <row r="9" spans="1:8" ht="15" customHeight="1">
      <c r="A9" s="14" t="s">
        <v>12</v>
      </c>
      <c r="B9" s="14">
        <f>COUNTIF('KB Audit'!$I$2:$I$32,"live")</f>
        <v>1</v>
      </c>
      <c r="D9" s="31" t="s">
        <v>13</v>
      </c>
      <c r="E9" s="32"/>
      <c r="F9" s="32"/>
      <c r="G9" s="32"/>
      <c r="H9" s="33"/>
    </row>
    <row r="10" spans="1:8" ht="15" customHeight="1">
      <c r="A10" s="14" t="s">
        <v>14</v>
      </c>
      <c r="B10" s="14">
        <f>COUNTIF('KB Audit'!$I$2:$I$32,"verify")</f>
        <v>3</v>
      </c>
      <c r="D10" s="34" t="s">
        <v>15</v>
      </c>
      <c r="E10" s="35"/>
      <c r="F10" s="35"/>
      <c r="G10" s="35"/>
      <c r="H10" s="36"/>
    </row>
    <row r="11" spans="1:8" ht="15" customHeight="1">
      <c r="A11" s="14" t="s">
        <v>16</v>
      </c>
      <c r="B11" s="15">
        <f>IF(B5=0,0,B6/B5)</f>
        <v>0.90322580645161288</v>
      </c>
    </row>
    <row r="13" spans="1:8" ht="15" customHeight="1">
      <c r="A13" s="37" t="s">
        <v>17</v>
      </c>
      <c r="B13" s="37" t="s">
        <v>17</v>
      </c>
      <c r="C13" s="37" t="s">
        <v>17</v>
      </c>
      <c r="D13" s="37" t="s">
        <v>17</v>
      </c>
      <c r="E13" s="37" t="s">
        <v>17</v>
      </c>
      <c r="F13" s="37" t="s">
        <v>17</v>
      </c>
      <c r="G13" s="37" t="s">
        <v>17</v>
      </c>
      <c r="H13" s="37" t="s">
        <v>17</v>
      </c>
    </row>
    <row r="14" spans="1:8" ht="26.4" customHeight="1">
      <c r="A14" s="16" t="s">
        <v>18</v>
      </c>
      <c r="B14" s="17" t="s">
        <v>19</v>
      </c>
      <c r="C14" s="17" t="s">
        <v>20</v>
      </c>
      <c r="D14" s="17"/>
      <c r="E14" s="17"/>
      <c r="F14" s="17"/>
      <c r="G14" s="17"/>
      <c r="H14" s="18"/>
    </row>
    <row r="15" spans="1:8" ht="26.4" customHeight="1">
      <c r="A15" s="19" t="s">
        <v>21</v>
      </c>
      <c r="B15" s="20" t="s">
        <v>22</v>
      </c>
      <c r="C15" s="20" t="s">
        <v>23</v>
      </c>
      <c r="D15" s="20"/>
      <c r="E15" s="20"/>
      <c r="F15" s="20"/>
      <c r="G15" s="20"/>
      <c r="H15" s="21"/>
    </row>
    <row r="16" spans="1:8" ht="26.4" customHeight="1">
      <c r="A16" s="22" t="s">
        <v>24</v>
      </c>
      <c r="B16" s="23" t="s">
        <v>25</v>
      </c>
      <c r="C16" s="23" t="s">
        <v>26</v>
      </c>
      <c r="D16" s="23"/>
      <c r="E16" s="23"/>
      <c r="F16" s="23"/>
      <c r="G16" s="23"/>
      <c r="H16" s="24"/>
    </row>
  </sheetData>
  <mergeCells count="9">
    <mergeCell ref="D8:H8"/>
    <mergeCell ref="D9:H9"/>
    <mergeCell ref="D10:H10"/>
    <mergeCell ref="A13:H13"/>
    <mergeCell ref="A1:H2"/>
    <mergeCell ref="D4:H4"/>
    <mergeCell ref="D5:H5"/>
    <mergeCell ref="D6:H6"/>
    <mergeCell ref="D7:H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2"/>
  <sheetViews>
    <sheetView showGridLines="0" zoomScale="53" workbookViewId="0">
      <selection activeCell="E4" sqref="E4"/>
    </sheetView>
  </sheetViews>
  <sheetFormatPr defaultRowHeight="14"/>
  <cols>
    <col min="1" max="1" width="29" customWidth="1"/>
    <col min="2" max="2" width="16" customWidth="1"/>
    <col min="3" max="3" width="34" customWidth="1"/>
    <col min="4" max="4" width="14" customWidth="1"/>
    <col min="5" max="5" width="88.75" customWidth="1"/>
    <col min="6" max="6" width="44.6640625" customWidth="1"/>
    <col min="7" max="7" width="21.5" customWidth="1"/>
    <col min="8" max="8" width="15" customWidth="1"/>
    <col min="9" max="9" width="14" customWidth="1"/>
    <col min="10" max="10" width="27" customWidth="1"/>
    <col min="11" max="11" width="46" customWidth="1"/>
    <col min="12" max="12" width="43" customWidth="1"/>
    <col min="13" max="13" width="20" customWidth="1"/>
    <col min="14" max="14" width="15" customWidth="1"/>
  </cols>
  <sheetData>
    <row r="1" spans="1:14" ht="15" customHeight="1">
      <c r="A1" s="2" t="s">
        <v>27</v>
      </c>
      <c r="B1" s="3" t="s">
        <v>28</v>
      </c>
      <c r="C1" s="3" t="s">
        <v>29</v>
      </c>
      <c r="D1" s="3" t="s">
        <v>30</v>
      </c>
      <c r="E1" s="3" t="s">
        <v>31</v>
      </c>
      <c r="F1" s="3" t="s">
        <v>32</v>
      </c>
      <c r="G1" s="3" t="s">
        <v>33</v>
      </c>
      <c r="H1" s="3" t="s">
        <v>34</v>
      </c>
      <c r="I1" s="3" t="s">
        <v>35</v>
      </c>
      <c r="J1" s="3" t="s">
        <v>36</v>
      </c>
      <c r="K1" s="3" t="s">
        <v>37</v>
      </c>
      <c r="L1" s="3" t="s">
        <v>38</v>
      </c>
      <c r="M1" s="3" t="s">
        <v>39</v>
      </c>
      <c r="N1" s="4" t="s">
        <v>40</v>
      </c>
    </row>
    <row r="2" spans="1:14" ht="66" customHeight="1">
      <c r="A2" s="5" t="s">
        <v>41</v>
      </c>
      <c r="B2" s="6" t="s">
        <v>42</v>
      </c>
      <c r="C2" s="6" t="s">
        <v>43</v>
      </c>
      <c r="D2" s="6" t="s">
        <v>44</v>
      </c>
      <c r="E2" s="6" t="s">
        <v>45</v>
      </c>
      <c r="F2" s="6" t="s">
        <v>46</v>
      </c>
      <c r="G2" s="6"/>
      <c r="H2" s="9">
        <v>46247</v>
      </c>
      <c r="I2" s="6" t="s">
        <v>47</v>
      </c>
      <c r="J2" s="6" t="str">
        <f t="shared" ref="J2:J32" si="0">IF(I2="verify","Needs client confirmation",IF(I2="dynamic","Verified - time-sensitive",IF(I2="live","Verified - live data","Verified")))</f>
        <v>Verified</v>
      </c>
      <c r="K2" s="6" t="s">
        <v>48</v>
      </c>
      <c r="L2" s="6" t="s">
        <v>49</v>
      </c>
      <c r="M2" s="6" t="s">
        <v>50</v>
      </c>
      <c r="N2" s="11">
        <f t="shared" ref="N2:N32" si="1">IF(I2="verify","",IF(I2="dynamic",H2+30,IF(I2="live",H2+7,H2+180)))</f>
        <v>46427</v>
      </c>
    </row>
    <row r="3" spans="1:14" ht="66" customHeight="1">
      <c r="A3" s="5" t="s">
        <v>51</v>
      </c>
      <c r="B3" s="6" t="s">
        <v>42</v>
      </c>
      <c r="C3" s="6" t="s">
        <v>52</v>
      </c>
      <c r="D3" s="6" t="s">
        <v>44</v>
      </c>
      <c r="E3" s="6" t="s">
        <v>53</v>
      </c>
      <c r="F3" s="6" t="s">
        <v>46</v>
      </c>
      <c r="G3" s="6"/>
      <c r="H3" s="9">
        <v>46247</v>
      </c>
      <c r="I3" s="6" t="s">
        <v>47</v>
      </c>
      <c r="J3" s="6" t="str">
        <f t="shared" si="0"/>
        <v>Verified</v>
      </c>
      <c r="K3" s="6" t="s">
        <v>48</v>
      </c>
      <c r="L3" s="6" t="s">
        <v>49</v>
      </c>
      <c r="M3" s="6" t="s">
        <v>50</v>
      </c>
      <c r="N3" s="11">
        <f t="shared" si="1"/>
        <v>46427</v>
      </c>
    </row>
    <row r="4" spans="1:14" ht="39.5" customHeight="1">
      <c r="A4" s="5" t="s">
        <v>54</v>
      </c>
      <c r="B4" s="6" t="s">
        <v>42</v>
      </c>
      <c r="C4" s="6" t="s">
        <v>55</v>
      </c>
      <c r="D4" s="6" t="s">
        <v>44</v>
      </c>
      <c r="E4" s="6" t="s">
        <v>56</v>
      </c>
      <c r="F4" s="6" t="s">
        <v>46</v>
      </c>
      <c r="G4" s="6"/>
      <c r="H4" s="9">
        <v>46247</v>
      </c>
      <c r="I4" s="6" t="s">
        <v>47</v>
      </c>
      <c r="J4" s="6" t="str">
        <f t="shared" si="0"/>
        <v>Verified</v>
      </c>
      <c r="K4" s="6" t="s">
        <v>48</v>
      </c>
      <c r="L4" s="6" t="s">
        <v>49</v>
      </c>
      <c r="M4" s="6" t="s">
        <v>50</v>
      </c>
      <c r="N4" s="11">
        <f t="shared" si="1"/>
        <v>46427</v>
      </c>
    </row>
    <row r="5" spans="1:14" ht="105.5" customHeight="1">
      <c r="A5" s="5" t="s">
        <v>57</v>
      </c>
      <c r="B5" s="6" t="s">
        <v>58</v>
      </c>
      <c r="C5" s="6" t="s">
        <v>59</v>
      </c>
      <c r="D5" s="6" t="s">
        <v>60</v>
      </c>
      <c r="E5" s="6" t="s">
        <v>61</v>
      </c>
      <c r="F5" s="6" t="s">
        <v>62</v>
      </c>
      <c r="G5" s="6"/>
      <c r="H5" s="9">
        <v>46247</v>
      </c>
      <c r="I5" s="6" t="s">
        <v>47</v>
      </c>
      <c r="J5" s="6" t="str">
        <f t="shared" si="0"/>
        <v>Verified</v>
      </c>
      <c r="K5" s="6" t="s">
        <v>48</v>
      </c>
      <c r="L5" s="6" t="s">
        <v>49</v>
      </c>
      <c r="M5" s="6" t="s">
        <v>50</v>
      </c>
      <c r="N5" s="11">
        <f t="shared" si="1"/>
        <v>46427</v>
      </c>
    </row>
    <row r="6" spans="1:14" ht="66" customHeight="1">
      <c r="A6" s="5" t="s">
        <v>63</v>
      </c>
      <c r="B6" s="6" t="s">
        <v>64</v>
      </c>
      <c r="C6" s="6" t="s">
        <v>65</v>
      </c>
      <c r="D6" s="6" t="s">
        <v>66</v>
      </c>
      <c r="E6" s="6" t="s">
        <v>67</v>
      </c>
      <c r="F6" s="6" t="s">
        <v>68</v>
      </c>
      <c r="G6" s="6"/>
      <c r="H6" s="9">
        <v>46247</v>
      </c>
      <c r="I6" s="6" t="s">
        <v>47</v>
      </c>
      <c r="J6" s="6" t="str">
        <f t="shared" si="0"/>
        <v>Verified</v>
      </c>
      <c r="K6" s="6" t="s">
        <v>48</v>
      </c>
      <c r="L6" s="6" t="s">
        <v>49</v>
      </c>
      <c r="M6" s="6" t="s">
        <v>50</v>
      </c>
      <c r="N6" s="11">
        <f t="shared" si="1"/>
        <v>46427</v>
      </c>
    </row>
    <row r="7" spans="1:14" ht="158.4" customHeight="1">
      <c r="A7" s="5" t="s">
        <v>69</v>
      </c>
      <c r="B7" s="6" t="s">
        <v>64</v>
      </c>
      <c r="C7" s="6" t="s">
        <v>70</v>
      </c>
      <c r="D7" s="6" t="s">
        <v>66</v>
      </c>
      <c r="E7" s="6" t="s">
        <v>71</v>
      </c>
      <c r="F7" s="6" t="s">
        <v>68</v>
      </c>
      <c r="G7" s="6"/>
      <c r="H7" s="9">
        <v>46247</v>
      </c>
      <c r="I7" s="6" t="s">
        <v>47</v>
      </c>
      <c r="J7" s="6" t="str">
        <f t="shared" si="0"/>
        <v>Verified</v>
      </c>
      <c r="K7" s="6" t="s">
        <v>48</v>
      </c>
      <c r="L7" s="6" t="s">
        <v>49</v>
      </c>
      <c r="M7" s="6" t="s">
        <v>50</v>
      </c>
      <c r="N7" s="11">
        <f t="shared" si="1"/>
        <v>46427</v>
      </c>
    </row>
    <row r="8" spans="1:14" ht="132" customHeight="1">
      <c r="A8" s="5" t="s">
        <v>72</v>
      </c>
      <c r="B8" s="6" t="s">
        <v>64</v>
      </c>
      <c r="C8" s="6" t="s">
        <v>73</v>
      </c>
      <c r="D8" s="6" t="s">
        <v>66</v>
      </c>
      <c r="E8" s="6" t="s">
        <v>74</v>
      </c>
      <c r="F8" s="6" t="s">
        <v>68</v>
      </c>
      <c r="G8" s="6"/>
      <c r="H8" s="9">
        <v>46247</v>
      </c>
      <c r="I8" s="6" t="s">
        <v>75</v>
      </c>
      <c r="J8" s="6" t="str">
        <f t="shared" si="0"/>
        <v>Verified - time-sensitive</v>
      </c>
      <c r="K8" s="6" t="s">
        <v>76</v>
      </c>
      <c r="L8" s="6" t="s">
        <v>77</v>
      </c>
      <c r="M8" s="6" t="s">
        <v>50</v>
      </c>
      <c r="N8" s="11">
        <f t="shared" si="1"/>
        <v>46277</v>
      </c>
    </row>
    <row r="9" spans="1:14" ht="66" customHeight="1">
      <c r="A9" s="5" t="s">
        <v>78</v>
      </c>
      <c r="B9" s="6" t="s">
        <v>64</v>
      </c>
      <c r="C9" s="6" t="s">
        <v>79</v>
      </c>
      <c r="D9" s="6" t="s">
        <v>80</v>
      </c>
      <c r="E9" s="6" t="s">
        <v>81</v>
      </c>
      <c r="F9" s="6" t="s">
        <v>82</v>
      </c>
      <c r="G9" s="6"/>
      <c r="H9" s="9">
        <v>46247</v>
      </c>
      <c r="I9" s="6" t="s">
        <v>47</v>
      </c>
      <c r="J9" s="6" t="str">
        <f t="shared" si="0"/>
        <v>Verified</v>
      </c>
      <c r="K9" s="6" t="s">
        <v>48</v>
      </c>
      <c r="L9" s="6" t="s">
        <v>49</v>
      </c>
      <c r="M9" s="6" t="s">
        <v>50</v>
      </c>
      <c r="N9" s="11">
        <f t="shared" si="1"/>
        <v>46427</v>
      </c>
    </row>
    <row r="10" spans="1:14" ht="105.5" customHeight="1">
      <c r="A10" s="5" t="s">
        <v>83</v>
      </c>
      <c r="B10" s="6" t="s">
        <v>64</v>
      </c>
      <c r="C10" s="6" t="s">
        <v>84</v>
      </c>
      <c r="D10" s="6" t="s">
        <v>66</v>
      </c>
      <c r="E10" s="6" t="s">
        <v>85</v>
      </c>
      <c r="F10" s="6" t="s">
        <v>86</v>
      </c>
      <c r="G10" s="6"/>
      <c r="H10" s="9">
        <v>46247</v>
      </c>
      <c r="I10" s="6" t="s">
        <v>75</v>
      </c>
      <c r="J10" s="6" t="str">
        <f t="shared" si="0"/>
        <v>Verified - time-sensitive</v>
      </c>
      <c r="K10" s="6" t="s">
        <v>87</v>
      </c>
      <c r="L10" s="6" t="s">
        <v>77</v>
      </c>
      <c r="M10" s="6" t="s">
        <v>50</v>
      </c>
      <c r="N10" s="11">
        <f t="shared" si="1"/>
        <v>46277</v>
      </c>
    </row>
    <row r="11" spans="1:14" ht="79.150000000000006" customHeight="1">
      <c r="A11" s="5" t="s">
        <v>88</v>
      </c>
      <c r="B11" s="6" t="s">
        <v>89</v>
      </c>
      <c r="C11" s="6" t="s">
        <v>90</v>
      </c>
      <c r="D11" s="6" t="s">
        <v>80</v>
      </c>
      <c r="E11" s="6" t="s">
        <v>91</v>
      </c>
      <c r="F11" s="6" t="s">
        <v>92</v>
      </c>
      <c r="G11" s="6"/>
      <c r="H11" s="9">
        <v>46247</v>
      </c>
      <c r="I11" s="6" t="s">
        <v>47</v>
      </c>
      <c r="J11" s="6" t="str">
        <f t="shared" si="0"/>
        <v>Verified</v>
      </c>
      <c r="K11" s="6" t="s">
        <v>48</v>
      </c>
      <c r="L11" s="6" t="s">
        <v>49</v>
      </c>
      <c r="M11" s="6" t="s">
        <v>50</v>
      </c>
      <c r="N11" s="11">
        <f t="shared" si="1"/>
        <v>46427</v>
      </c>
    </row>
    <row r="12" spans="1:14" ht="132" customHeight="1">
      <c r="A12" s="5" t="s">
        <v>93</v>
      </c>
      <c r="B12" s="6" t="s">
        <v>89</v>
      </c>
      <c r="C12" s="6" t="s">
        <v>94</v>
      </c>
      <c r="D12" s="6" t="s">
        <v>66</v>
      </c>
      <c r="E12" s="6" t="s">
        <v>95</v>
      </c>
      <c r="F12" s="6" t="s">
        <v>92</v>
      </c>
      <c r="G12" s="6"/>
      <c r="H12" s="9">
        <v>46247</v>
      </c>
      <c r="I12" s="6" t="s">
        <v>75</v>
      </c>
      <c r="J12" s="6" t="str">
        <f t="shared" si="0"/>
        <v>Verified - time-sensitive</v>
      </c>
      <c r="K12" s="6" t="s">
        <v>96</v>
      </c>
      <c r="L12" s="6" t="s">
        <v>77</v>
      </c>
      <c r="M12" s="6" t="s">
        <v>50</v>
      </c>
      <c r="N12" s="11">
        <f t="shared" si="1"/>
        <v>46277</v>
      </c>
    </row>
    <row r="13" spans="1:14" ht="66" customHeight="1">
      <c r="A13" s="5" t="s">
        <v>97</v>
      </c>
      <c r="B13" s="6" t="s">
        <v>98</v>
      </c>
      <c r="C13" s="6" t="s">
        <v>99</v>
      </c>
      <c r="D13" s="6" t="s">
        <v>100</v>
      </c>
      <c r="E13" s="6" t="s">
        <v>101</v>
      </c>
      <c r="F13" s="6" t="s">
        <v>102</v>
      </c>
      <c r="G13" s="6"/>
      <c r="H13" s="9">
        <v>46247</v>
      </c>
      <c r="I13" s="6" t="s">
        <v>47</v>
      </c>
      <c r="J13" s="6" t="str">
        <f t="shared" si="0"/>
        <v>Verified</v>
      </c>
      <c r="K13" s="6" t="s">
        <v>48</v>
      </c>
      <c r="L13" s="6" t="s">
        <v>49</v>
      </c>
      <c r="M13" s="6" t="s">
        <v>50</v>
      </c>
      <c r="N13" s="11">
        <f t="shared" si="1"/>
        <v>46427</v>
      </c>
    </row>
    <row r="14" spans="1:14" ht="52.75" customHeight="1">
      <c r="A14" s="5" t="s">
        <v>103</v>
      </c>
      <c r="B14" s="6" t="s">
        <v>98</v>
      </c>
      <c r="C14" s="6" t="s">
        <v>104</v>
      </c>
      <c r="D14" s="6" t="s">
        <v>100</v>
      </c>
      <c r="E14" s="6" t="s">
        <v>105</v>
      </c>
      <c r="F14" s="6" t="s">
        <v>102</v>
      </c>
      <c r="G14" s="6"/>
      <c r="H14" s="9">
        <v>46247</v>
      </c>
      <c r="I14" s="6" t="s">
        <v>47</v>
      </c>
      <c r="J14" s="6" t="str">
        <f t="shared" si="0"/>
        <v>Verified</v>
      </c>
      <c r="K14" s="6" t="s">
        <v>48</v>
      </c>
      <c r="L14" s="6" t="s">
        <v>49</v>
      </c>
      <c r="M14" s="6" t="s">
        <v>50</v>
      </c>
      <c r="N14" s="11">
        <f t="shared" si="1"/>
        <v>46427</v>
      </c>
    </row>
    <row r="15" spans="1:14" ht="92.4" customHeight="1">
      <c r="A15" s="5" t="s">
        <v>106</v>
      </c>
      <c r="B15" s="6" t="s">
        <v>98</v>
      </c>
      <c r="C15" s="6" t="s">
        <v>107</v>
      </c>
      <c r="D15" s="6" t="s">
        <v>100</v>
      </c>
      <c r="E15" s="6" t="s">
        <v>108</v>
      </c>
      <c r="F15" s="6" t="s">
        <v>102</v>
      </c>
      <c r="G15" s="6"/>
      <c r="H15" s="9">
        <v>46247</v>
      </c>
      <c r="I15" s="6" t="s">
        <v>47</v>
      </c>
      <c r="J15" s="6" t="str">
        <f t="shared" si="0"/>
        <v>Verified</v>
      </c>
      <c r="K15" s="6" t="s">
        <v>48</v>
      </c>
      <c r="L15" s="6" t="s">
        <v>49</v>
      </c>
      <c r="M15" s="6" t="s">
        <v>50</v>
      </c>
      <c r="N15" s="11">
        <f t="shared" si="1"/>
        <v>46427</v>
      </c>
    </row>
    <row r="16" spans="1:14" ht="132" customHeight="1">
      <c r="A16" s="5" t="s">
        <v>109</v>
      </c>
      <c r="B16" s="6" t="s">
        <v>98</v>
      </c>
      <c r="C16" s="6" t="s">
        <v>110</v>
      </c>
      <c r="D16" s="6" t="s">
        <v>66</v>
      </c>
      <c r="E16" s="6" t="s">
        <v>111</v>
      </c>
      <c r="F16" s="6" t="s">
        <v>112</v>
      </c>
      <c r="G16" s="6"/>
      <c r="H16" s="9">
        <v>46247</v>
      </c>
      <c r="I16" s="6" t="s">
        <v>75</v>
      </c>
      <c r="J16" s="6" t="str">
        <f t="shared" si="0"/>
        <v>Verified - time-sensitive</v>
      </c>
      <c r="K16" s="6" t="s">
        <v>113</v>
      </c>
      <c r="L16" s="6" t="s">
        <v>77</v>
      </c>
      <c r="M16" s="6" t="s">
        <v>50</v>
      </c>
      <c r="N16" s="11">
        <f t="shared" si="1"/>
        <v>46277</v>
      </c>
    </row>
    <row r="17" spans="1:14" ht="105.5" customHeight="1">
      <c r="A17" s="5" t="s">
        <v>18</v>
      </c>
      <c r="B17" s="6" t="s">
        <v>98</v>
      </c>
      <c r="C17" s="6" t="s">
        <v>114</v>
      </c>
      <c r="D17" s="6" t="s">
        <v>66</v>
      </c>
      <c r="E17" s="6" t="s">
        <v>115</v>
      </c>
      <c r="F17" s="6" t="s">
        <v>112</v>
      </c>
      <c r="G17" s="6" t="s">
        <v>116</v>
      </c>
      <c r="H17" s="9">
        <v>46247</v>
      </c>
      <c r="I17" s="6" t="s">
        <v>117</v>
      </c>
      <c r="J17" s="6" t="str">
        <f t="shared" si="0"/>
        <v>Needs client confirmation</v>
      </c>
      <c r="K17" s="6" t="s">
        <v>118</v>
      </c>
      <c r="L17" s="6" t="s">
        <v>119</v>
      </c>
      <c r="M17" s="6" t="s">
        <v>50</v>
      </c>
      <c r="N17" s="11" t="str">
        <f t="shared" si="1"/>
        <v/>
      </c>
    </row>
    <row r="18" spans="1:14" ht="79.150000000000006" customHeight="1">
      <c r="A18" s="5" t="s">
        <v>120</v>
      </c>
      <c r="B18" s="6" t="s">
        <v>121</v>
      </c>
      <c r="C18" s="6" t="s">
        <v>122</v>
      </c>
      <c r="D18" s="6" t="s">
        <v>66</v>
      </c>
      <c r="E18" s="6" t="s">
        <v>123</v>
      </c>
      <c r="F18" s="6" t="s">
        <v>124</v>
      </c>
      <c r="G18" s="6"/>
      <c r="H18" s="9">
        <v>46247</v>
      </c>
      <c r="I18" s="6" t="s">
        <v>47</v>
      </c>
      <c r="J18" s="6" t="str">
        <f t="shared" si="0"/>
        <v>Verified</v>
      </c>
      <c r="K18" s="6" t="s">
        <v>48</v>
      </c>
      <c r="L18" s="6" t="s">
        <v>49</v>
      </c>
      <c r="M18" s="6" t="s">
        <v>50</v>
      </c>
      <c r="N18" s="11">
        <f t="shared" si="1"/>
        <v>46427</v>
      </c>
    </row>
    <row r="19" spans="1:14" ht="105.5" customHeight="1">
      <c r="A19" s="5" t="s">
        <v>125</v>
      </c>
      <c r="B19" s="6" t="s">
        <v>126</v>
      </c>
      <c r="C19" s="6" t="s">
        <v>127</v>
      </c>
      <c r="D19" s="6" t="s">
        <v>66</v>
      </c>
      <c r="E19" s="6" t="s">
        <v>128</v>
      </c>
      <c r="F19" s="6" t="s">
        <v>129</v>
      </c>
      <c r="G19" s="6"/>
      <c r="H19" s="9">
        <v>46247</v>
      </c>
      <c r="I19" s="6" t="s">
        <v>75</v>
      </c>
      <c r="J19" s="6" t="str">
        <f t="shared" si="0"/>
        <v>Verified - time-sensitive</v>
      </c>
      <c r="K19" s="6" t="s">
        <v>130</v>
      </c>
      <c r="L19" s="6" t="s">
        <v>77</v>
      </c>
      <c r="M19" s="6" t="s">
        <v>50</v>
      </c>
      <c r="N19" s="11">
        <f t="shared" si="1"/>
        <v>46277</v>
      </c>
    </row>
    <row r="20" spans="1:14" ht="52.75" customHeight="1">
      <c r="A20" s="5" t="s">
        <v>131</v>
      </c>
      <c r="B20" s="6" t="s">
        <v>126</v>
      </c>
      <c r="C20" s="6" t="s">
        <v>132</v>
      </c>
      <c r="D20" s="6" t="s">
        <v>80</v>
      </c>
      <c r="E20" s="6" t="s">
        <v>133</v>
      </c>
      <c r="F20" s="6" t="s">
        <v>134</v>
      </c>
      <c r="G20" s="6"/>
      <c r="H20" s="9">
        <v>46247</v>
      </c>
      <c r="I20" s="6" t="s">
        <v>47</v>
      </c>
      <c r="J20" s="6" t="str">
        <f t="shared" si="0"/>
        <v>Verified</v>
      </c>
      <c r="K20" s="6" t="s">
        <v>48</v>
      </c>
      <c r="L20" s="6" t="s">
        <v>49</v>
      </c>
      <c r="M20" s="6" t="s">
        <v>50</v>
      </c>
      <c r="N20" s="11">
        <f t="shared" si="1"/>
        <v>46427</v>
      </c>
    </row>
    <row r="21" spans="1:14" ht="92.4" customHeight="1">
      <c r="A21" s="5" t="s">
        <v>135</v>
      </c>
      <c r="B21" s="6" t="s">
        <v>136</v>
      </c>
      <c r="C21" s="6" t="s">
        <v>137</v>
      </c>
      <c r="D21" s="6" t="s">
        <v>80</v>
      </c>
      <c r="E21" s="6" t="s">
        <v>138</v>
      </c>
      <c r="F21" s="6" t="s">
        <v>139</v>
      </c>
      <c r="G21" s="6"/>
      <c r="H21" s="9">
        <v>46247</v>
      </c>
      <c r="I21" s="6" t="s">
        <v>47</v>
      </c>
      <c r="J21" s="6" t="str">
        <f t="shared" si="0"/>
        <v>Verified</v>
      </c>
      <c r="K21" s="6" t="s">
        <v>48</v>
      </c>
      <c r="L21" s="6" t="s">
        <v>49</v>
      </c>
      <c r="M21" s="6" t="s">
        <v>50</v>
      </c>
      <c r="N21" s="11">
        <f t="shared" si="1"/>
        <v>46427</v>
      </c>
    </row>
    <row r="22" spans="1:14" ht="66" customHeight="1">
      <c r="A22" s="5" t="s">
        <v>140</v>
      </c>
      <c r="B22" s="6" t="s">
        <v>141</v>
      </c>
      <c r="C22" s="6" t="s">
        <v>142</v>
      </c>
      <c r="D22" s="6" t="s">
        <v>80</v>
      </c>
      <c r="E22" s="6" t="s">
        <v>143</v>
      </c>
      <c r="F22" s="6" t="s">
        <v>144</v>
      </c>
      <c r="G22" s="6"/>
      <c r="H22" s="9">
        <v>46247</v>
      </c>
      <c r="I22" s="6" t="s">
        <v>75</v>
      </c>
      <c r="J22" s="6" t="str">
        <f t="shared" si="0"/>
        <v>Verified - time-sensitive</v>
      </c>
      <c r="K22" s="6" t="s">
        <v>145</v>
      </c>
      <c r="L22" s="6" t="s">
        <v>77</v>
      </c>
      <c r="M22" s="6" t="s">
        <v>50</v>
      </c>
      <c r="N22" s="11">
        <f t="shared" si="1"/>
        <v>46277</v>
      </c>
    </row>
    <row r="23" spans="1:14" ht="79.150000000000006" customHeight="1">
      <c r="A23" s="5" t="s">
        <v>146</v>
      </c>
      <c r="B23" s="6" t="s">
        <v>147</v>
      </c>
      <c r="C23" s="6" t="s">
        <v>148</v>
      </c>
      <c r="D23" s="6" t="s">
        <v>66</v>
      </c>
      <c r="E23" s="6" t="s">
        <v>149</v>
      </c>
      <c r="F23" s="6" t="s">
        <v>150</v>
      </c>
      <c r="G23" s="6"/>
      <c r="H23" s="9">
        <v>46247</v>
      </c>
      <c r="I23" s="6" t="s">
        <v>47</v>
      </c>
      <c r="J23" s="6" t="str">
        <f t="shared" si="0"/>
        <v>Verified</v>
      </c>
      <c r="K23" s="6" t="s">
        <v>48</v>
      </c>
      <c r="L23" s="6" t="s">
        <v>49</v>
      </c>
      <c r="M23" s="6" t="s">
        <v>50</v>
      </c>
      <c r="N23" s="11">
        <f t="shared" si="1"/>
        <v>46427</v>
      </c>
    </row>
    <row r="24" spans="1:14" ht="145.15" customHeight="1">
      <c r="A24" s="5" t="s">
        <v>151</v>
      </c>
      <c r="B24" s="6" t="s">
        <v>152</v>
      </c>
      <c r="C24" s="6" t="s">
        <v>153</v>
      </c>
      <c r="D24" s="6" t="s">
        <v>80</v>
      </c>
      <c r="E24" s="6" t="s">
        <v>154</v>
      </c>
      <c r="F24" s="6" t="s">
        <v>155</v>
      </c>
      <c r="G24" s="6"/>
      <c r="H24" s="9">
        <v>46247</v>
      </c>
      <c r="I24" s="6" t="s">
        <v>47</v>
      </c>
      <c r="J24" s="6" t="str">
        <f t="shared" si="0"/>
        <v>Verified</v>
      </c>
      <c r="K24" s="6" t="s">
        <v>48</v>
      </c>
      <c r="L24" s="6" t="s">
        <v>49</v>
      </c>
      <c r="M24" s="6" t="s">
        <v>50</v>
      </c>
      <c r="N24" s="11">
        <f t="shared" si="1"/>
        <v>46427</v>
      </c>
    </row>
    <row r="25" spans="1:14" ht="66" customHeight="1">
      <c r="A25" s="5" t="s">
        <v>156</v>
      </c>
      <c r="B25" s="6" t="s">
        <v>157</v>
      </c>
      <c r="C25" s="6" t="s">
        <v>158</v>
      </c>
      <c r="D25" s="6" t="s">
        <v>80</v>
      </c>
      <c r="E25" s="6" t="s">
        <v>159</v>
      </c>
      <c r="F25" s="6" t="s">
        <v>160</v>
      </c>
      <c r="G25" s="6"/>
      <c r="H25" s="9">
        <v>46247</v>
      </c>
      <c r="I25" s="6" t="s">
        <v>47</v>
      </c>
      <c r="J25" s="6" t="str">
        <f t="shared" si="0"/>
        <v>Verified</v>
      </c>
      <c r="K25" s="6" t="s">
        <v>48</v>
      </c>
      <c r="L25" s="6" t="s">
        <v>49</v>
      </c>
      <c r="M25" s="6" t="s">
        <v>50</v>
      </c>
      <c r="N25" s="11">
        <f t="shared" si="1"/>
        <v>46427</v>
      </c>
    </row>
    <row r="26" spans="1:14" ht="26.4" customHeight="1">
      <c r="A26" s="5" t="s">
        <v>161</v>
      </c>
      <c r="B26" s="6" t="s">
        <v>157</v>
      </c>
      <c r="C26" s="6" t="s">
        <v>162</v>
      </c>
      <c r="D26" s="6" t="s">
        <v>66</v>
      </c>
      <c r="E26" s="6" t="s">
        <v>163</v>
      </c>
      <c r="F26" s="6" t="s">
        <v>164</v>
      </c>
      <c r="G26" s="6"/>
      <c r="H26" s="9">
        <v>46247</v>
      </c>
      <c r="I26" s="6" t="s">
        <v>47</v>
      </c>
      <c r="J26" s="6" t="str">
        <f t="shared" si="0"/>
        <v>Verified</v>
      </c>
      <c r="K26" s="6" t="s">
        <v>48</v>
      </c>
      <c r="L26" s="6" t="s">
        <v>49</v>
      </c>
      <c r="M26" s="6" t="s">
        <v>50</v>
      </c>
      <c r="N26" s="11">
        <f t="shared" si="1"/>
        <v>46427</v>
      </c>
    </row>
    <row r="27" spans="1:14" ht="66" customHeight="1">
      <c r="A27" s="5" t="s">
        <v>21</v>
      </c>
      <c r="B27" s="6" t="s">
        <v>157</v>
      </c>
      <c r="C27" s="6" t="s">
        <v>165</v>
      </c>
      <c r="D27" s="6" t="s">
        <v>66</v>
      </c>
      <c r="E27" s="6" t="s">
        <v>166</v>
      </c>
      <c r="F27" s="6" t="s">
        <v>164</v>
      </c>
      <c r="G27" s="6" t="s">
        <v>160</v>
      </c>
      <c r="H27" s="9">
        <v>46247</v>
      </c>
      <c r="I27" s="6" t="s">
        <v>117</v>
      </c>
      <c r="J27" s="6" t="str">
        <f t="shared" si="0"/>
        <v>Needs client confirmation</v>
      </c>
      <c r="K27" s="6" t="s">
        <v>167</v>
      </c>
      <c r="L27" s="6" t="s">
        <v>119</v>
      </c>
      <c r="M27" s="6" t="s">
        <v>50</v>
      </c>
      <c r="N27" s="11" t="str">
        <f t="shared" si="1"/>
        <v/>
      </c>
    </row>
    <row r="28" spans="1:14" ht="52.75" customHeight="1">
      <c r="A28" s="5" t="s">
        <v>24</v>
      </c>
      <c r="B28" s="6" t="s">
        <v>157</v>
      </c>
      <c r="C28" s="6" t="s">
        <v>168</v>
      </c>
      <c r="D28" s="6" t="s">
        <v>66</v>
      </c>
      <c r="E28" s="6" t="s">
        <v>169</v>
      </c>
      <c r="F28" s="6" t="s">
        <v>160</v>
      </c>
      <c r="G28" s="6"/>
      <c r="H28" s="9">
        <v>46247</v>
      </c>
      <c r="I28" s="6" t="s">
        <v>117</v>
      </c>
      <c r="J28" s="6" t="str">
        <f t="shared" si="0"/>
        <v>Needs client confirmation</v>
      </c>
      <c r="K28" s="6" t="s">
        <v>170</v>
      </c>
      <c r="L28" s="6" t="s">
        <v>119</v>
      </c>
      <c r="M28" s="6" t="s">
        <v>50</v>
      </c>
      <c r="N28" s="11" t="str">
        <f t="shared" si="1"/>
        <v/>
      </c>
    </row>
    <row r="29" spans="1:14" ht="66" customHeight="1">
      <c r="A29" s="5" t="s">
        <v>171</v>
      </c>
      <c r="B29" s="6" t="s">
        <v>157</v>
      </c>
      <c r="C29" s="6" t="s">
        <v>172</v>
      </c>
      <c r="D29" s="6" t="s">
        <v>173</v>
      </c>
      <c r="E29" s="6" t="s">
        <v>174</v>
      </c>
      <c r="F29" s="6" t="s">
        <v>175</v>
      </c>
      <c r="G29" s="6"/>
      <c r="H29" s="9">
        <v>46247</v>
      </c>
      <c r="I29" s="6" t="s">
        <v>47</v>
      </c>
      <c r="J29" s="6" t="str">
        <f t="shared" si="0"/>
        <v>Verified</v>
      </c>
      <c r="K29" s="6" t="s">
        <v>48</v>
      </c>
      <c r="L29" s="6" t="s">
        <v>49</v>
      </c>
      <c r="M29" s="6" t="s">
        <v>50</v>
      </c>
      <c r="N29" s="11">
        <f t="shared" si="1"/>
        <v>46427</v>
      </c>
    </row>
    <row r="30" spans="1:14" ht="39.5" customHeight="1">
      <c r="A30" s="5" t="s">
        <v>176</v>
      </c>
      <c r="B30" s="6" t="s">
        <v>157</v>
      </c>
      <c r="C30" s="6" t="s">
        <v>177</v>
      </c>
      <c r="D30" s="6" t="s">
        <v>178</v>
      </c>
      <c r="E30" s="6" t="s">
        <v>179</v>
      </c>
      <c r="F30" s="6" t="s">
        <v>180</v>
      </c>
      <c r="G30" s="6"/>
      <c r="H30" s="9">
        <v>46247</v>
      </c>
      <c r="I30" s="6" t="s">
        <v>47</v>
      </c>
      <c r="J30" s="6" t="str">
        <f t="shared" si="0"/>
        <v>Verified</v>
      </c>
      <c r="K30" s="6" t="s">
        <v>48</v>
      </c>
      <c r="L30" s="6" t="s">
        <v>49</v>
      </c>
      <c r="M30" s="6" t="s">
        <v>50</v>
      </c>
      <c r="N30" s="11">
        <f t="shared" si="1"/>
        <v>46427</v>
      </c>
    </row>
    <row r="31" spans="1:14" ht="52.75" customHeight="1">
      <c r="A31" s="5" t="s">
        <v>181</v>
      </c>
      <c r="B31" s="6" t="s">
        <v>182</v>
      </c>
      <c r="C31" s="6" t="s">
        <v>183</v>
      </c>
      <c r="D31" s="6" t="s">
        <v>44</v>
      </c>
      <c r="E31" s="6" t="s">
        <v>184</v>
      </c>
      <c r="F31" s="6" t="s">
        <v>185</v>
      </c>
      <c r="G31" s="6"/>
      <c r="H31" s="9">
        <v>46247</v>
      </c>
      <c r="I31" s="6" t="s">
        <v>186</v>
      </c>
      <c r="J31" s="6" t="str">
        <f t="shared" si="0"/>
        <v>Verified - live data</v>
      </c>
      <c r="K31" s="6" t="s">
        <v>187</v>
      </c>
      <c r="L31" s="6" t="s">
        <v>188</v>
      </c>
      <c r="M31" s="6" t="s">
        <v>50</v>
      </c>
      <c r="N31" s="11">
        <f t="shared" si="1"/>
        <v>46254</v>
      </c>
    </row>
    <row r="32" spans="1:14" ht="66" customHeight="1">
      <c r="A32" s="7" t="s">
        <v>189</v>
      </c>
      <c r="B32" s="8" t="s">
        <v>190</v>
      </c>
      <c r="C32" s="8" t="s">
        <v>191</v>
      </c>
      <c r="D32" s="8" t="s">
        <v>192</v>
      </c>
      <c r="E32" s="8" t="s">
        <v>193</v>
      </c>
      <c r="F32" s="8" t="s">
        <v>194</v>
      </c>
      <c r="G32" s="8"/>
      <c r="H32" s="10">
        <v>46247</v>
      </c>
      <c r="I32" s="8" t="s">
        <v>47</v>
      </c>
      <c r="J32" s="8" t="str">
        <f t="shared" si="0"/>
        <v>Verified</v>
      </c>
      <c r="K32" s="8" t="s">
        <v>48</v>
      </c>
      <c r="L32" s="8" t="s">
        <v>49</v>
      </c>
      <c r="M32" s="8" t="s">
        <v>50</v>
      </c>
      <c r="N32" s="12">
        <f t="shared" si="1"/>
        <v>46427</v>
      </c>
    </row>
  </sheetData>
  <conditionalFormatting sqref="I2:I32">
    <cfRule type="containsText" dxfId="6" priority="1" operator="containsText" text="stable"/>
    <cfRule type="containsText" dxfId="5" priority="2" operator="containsText" text="dynamic"/>
    <cfRule type="containsText" dxfId="4" priority="3" operator="containsText" text="verify"/>
    <cfRule type="containsText" dxfId="3" priority="4" operator="containsText" text="live"/>
  </conditionalFormatting>
  <dataValidations count="1">
    <dataValidation type="list" sqref="I2:I32" xr:uid="{00000000-0002-0000-0100-000000000000}">
      <formula1>"stable,dynamic,verify,live"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showGridLines="0" tabSelected="1" zoomScale="74" workbookViewId="0">
      <selection activeCell="D9" sqref="D9"/>
    </sheetView>
  </sheetViews>
  <sheetFormatPr defaultRowHeight="14"/>
  <cols>
    <col min="1" max="1" width="13" customWidth="1"/>
    <col min="2" max="2" width="27" customWidth="1"/>
    <col min="3" max="3" width="16" customWidth="1"/>
    <col min="4" max="4" width="55" customWidth="1"/>
    <col min="5" max="5" width="47" customWidth="1"/>
    <col min="6" max="6" width="23" customWidth="1"/>
    <col min="7" max="7" width="16" customWidth="1"/>
  </cols>
  <sheetData>
    <row r="1" spans="1:7">
      <c r="A1" s="26" t="s">
        <v>195</v>
      </c>
      <c r="B1" s="26" t="s">
        <v>195</v>
      </c>
      <c r="C1" s="26" t="s">
        <v>195</v>
      </c>
      <c r="D1" s="26" t="s">
        <v>195</v>
      </c>
      <c r="E1" s="26" t="s">
        <v>195</v>
      </c>
      <c r="F1" s="26" t="s">
        <v>195</v>
      </c>
      <c r="G1" s="26" t="s">
        <v>195</v>
      </c>
    </row>
    <row r="2" spans="1:7">
      <c r="A2" s="26" t="s">
        <v>195</v>
      </c>
      <c r="B2" s="26" t="s">
        <v>195</v>
      </c>
      <c r="C2" s="26" t="s">
        <v>195</v>
      </c>
      <c r="D2" s="26" t="s">
        <v>195</v>
      </c>
      <c r="E2" s="26" t="s">
        <v>195</v>
      </c>
      <c r="F2" s="26" t="s">
        <v>195</v>
      </c>
      <c r="G2" s="26" t="s">
        <v>195</v>
      </c>
    </row>
    <row r="4" spans="1:7" ht="15" customHeight="1">
      <c r="A4" s="25" t="s">
        <v>196</v>
      </c>
      <c r="B4" s="25" t="s">
        <v>197</v>
      </c>
      <c r="C4" s="25" t="s">
        <v>198</v>
      </c>
      <c r="D4" s="25" t="s">
        <v>199</v>
      </c>
      <c r="E4" s="25" t="s">
        <v>200</v>
      </c>
      <c r="F4" s="25" t="s">
        <v>201</v>
      </c>
      <c r="G4" s="25" t="s">
        <v>202</v>
      </c>
    </row>
    <row r="5" spans="1:7" ht="15" customHeight="1">
      <c r="A5" s="1" t="s">
        <v>203</v>
      </c>
      <c r="B5" s="1" t="s">
        <v>18</v>
      </c>
      <c r="C5" s="1" t="s">
        <v>204</v>
      </c>
      <c r="D5" s="1" t="s">
        <v>205</v>
      </c>
      <c r="E5" s="1" t="s">
        <v>206</v>
      </c>
      <c r="F5" s="1" t="s">
        <v>207</v>
      </c>
      <c r="G5" s="1" t="s">
        <v>208</v>
      </c>
    </row>
    <row r="6" spans="1:7" ht="26.4" customHeight="1">
      <c r="A6" s="1" t="s">
        <v>203</v>
      </c>
      <c r="B6" s="1" t="s">
        <v>21</v>
      </c>
      <c r="C6" s="1" t="s">
        <v>209</v>
      </c>
      <c r="D6" s="1" t="s">
        <v>210</v>
      </c>
      <c r="E6" s="1" t="s">
        <v>211</v>
      </c>
      <c r="F6" s="1" t="s">
        <v>212</v>
      </c>
      <c r="G6" s="1" t="s">
        <v>208</v>
      </c>
    </row>
    <row r="7" spans="1:7" ht="15" customHeight="1">
      <c r="A7" s="1" t="s">
        <v>213</v>
      </c>
      <c r="B7" s="1" t="s">
        <v>24</v>
      </c>
      <c r="C7" s="1" t="s">
        <v>209</v>
      </c>
      <c r="D7" s="1" t="s">
        <v>214</v>
      </c>
      <c r="E7" s="1" t="s">
        <v>215</v>
      </c>
      <c r="F7" s="1" t="s">
        <v>212</v>
      </c>
      <c r="G7" s="1" t="s">
        <v>208</v>
      </c>
    </row>
    <row r="8" spans="1:7" ht="26.4" customHeight="1">
      <c r="A8" s="1" t="s">
        <v>213</v>
      </c>
      <c r="B8" s="1"/>
      <c r="C8" s="1" t="s">
        <v>204</v>
      </c>
      <c r="D8" s="1" t="s">
        <v>216</v>
      </c>
      <c r="E8" s="1" t="s">
        <v>217</v>
      </c>
      <c r="F8" s="1" t="s">
        <v>207</v>
      </c>
      <c r="G8" s="1" t="s">
        <v>208</v>
      </c>
    </row>
    <row r="9" spans="1:7" ht="26.4" customHeight="1">
      <c r="A9" s="1" t="s">
        <v>213</v>
      </c>
      <c r="B9" s="1"/>
      <c r="C9" s="1" t="s">
        <v>218</v>
      </c>
      <c r="D9" s="1" t="s">
        <v>219</v>
      </c>
      <c r="E9" s="1" t="s">
        <v>220</v>
      </c>
      <c r="F9" s="1" t="s">
        <v>221</v>
      </c>
      <c r="G9" s="1" t="s">
        <v>208</v>
      </c>
    </row>
    <row r="10" spans="1:7" ht="26.4" customHeight="1">
      <c r="A10" s="1" t="s">
        <v>213</v>
      </c>
      <c r="B10" s="1"/>
      <c r="C10" s="1" t="s">
        <v>222</v>
      </c>
      <c r="D10" s="1" t="s">
        <v>223</v>
      </c>
      <c r="E10" s="1" t="s">
        <v>224</v>
      </c>
      <c r="F10" s="1" t="s">
        <v>225</v>
      </c>
      <c r="G10" s="1" t="s">
        <v>208</v>
      </c>
    </row>
    <row r="11" spans="1:7" ht="15" customHeight="1">
      <c r="A11" s="1" t="s">
        <v>203</v>
      </c>
      <c r="B11" s="1"/>
      <c r="C11" s="1" t="s">
        <v>226</v>
      </c>
      <c r="D11" s="1" t="s">
        <v>227</v>
      </c>
      <c r="E11" s="1" t="s">
        <v>228</v>
      </c>
      <c r="F11" s="1" t="s">
        <v>229</v>
      </c>
      <c r="G11" s="1" t="s">
        <v>208</v>
      </c>
    </row>
    <row r="12" spans="1:7" ht="15" customHeight="1">
      <c r="A12" s="1" t="s">
        <v>213</v>
      </c>
      <c r="B12" s="1"/>
      <c r="C12" s="1" t="s">
        <v>226</v>
      </c>
      <c r="D12" s="1" t="s">
        <v>230</v>
      </c>
      <c r="E12" s="1" t="s">
        <v>231</v>
      </c>
      <c r="F12" s="1" t="s">
        <v>229</v>
      </c>
      <c r="G12" s="1" t="s">
        <v>208</v>
      </c>
    </row>
    <row r="13" spans="1:7" ht="15" customHeight="1">
      <c r="A13" s="1" t="s">
        <v>232</v>
      </c>
      <c r="B13" s="1"/>
      <c r="C13" s="1" t="s">
        <v>233</v>
      </c>
      <c r="D13" s="1" t="s">
        <v>234</v>
      </c>
      <c r="E13" s="1" t="s">
        <v>235</v>
      </c>
      <c r="F13" s="1" t="s">
        <v>236</v>
      </c>
      <c r="G13" s="1" t="s">
        <v>208</v>
      </c>
    </row>
    <row r="14" spans="1:7" ht="15" customHeight="1">
      <c r="A14" s="1" t="s">
        <v>232</v>
      </c>
      <c r="B14" s="1"/>
      <c r="C14" s="1" t="s">
        <v>237</v>
      </c>
      <c r="D14" s="1" t="s">
        <v>238</v>
      </c>
      <c r="E14" s="1" t="s">
        <v>239</v>
      </c>
      <c r="F14" s="1" t="s">
        <v>240</v>
      </c>
      <c r="G14" s="1" t="s">
        <v>208</v>
      </c>
    </row>
    <row r="15" spans="1:7" ht="15" customHeight="1">
      <c r="A15" s="1" t="s">
        <v>203</v>
      </c>
      <c r="B15" s="1"/>
      <c r="C15" s="1" t="s">
        <v>241</v>
      </c>
      <c r="D15" s="1" t="s">
        <v>242</v>
      </c>
      <c r="E15" s="1" t="s">
        <v>243</v>
      </c>
      <c r="F15" s="1" t="s">
        <v>229</v>
      </c>
      <c r="G15" s="1" t="s">
        <v>208</v>
      </c>
    </row>
    <row r="16" spans="1:7" ht="15" customHeight="1">
      <c r="A16" s="1" t="s">
        <v>203</v>
      </c>
      <c r="B16" s="1" t="s">
        <v>151</v>
      </c>
      <c r="C16" s="1" t="s">
        <v>244</v>
      </c>
      <c r="D16" s="1" t="s">
        <v>245</v>
      </c>
      <c r="E16" s="1" t="s">
        <v>246</v>
      </c>
      <c r="F16" s="1" t="s">
        <v>247</v>
      </c>
      <c r="G16" s="1" t="s">
        <v>208</v>
      </c>
    </row>
  </sheetData>
  <mergeCells count="1">
    <mergeCell ref="A1:G2"/>
  </mergeCells>
  <conditionalFormatting sqref="A5:A16">
    <cfRule type="containsText" dxfId="2" priority="1" operator="containsText" text="Critical"/>
    <cfRule type="containsText" dxfId="1" priority="2" operator="containsText" text="High"/>
    <cfRule type="containsText" dxfId="0" priority="3" operator="containsText" text="Medium"/>
  </conditionalFormatting>
  <dataValidations count="1">
    <dataValidation type="list" sqref="G5:G16" xr:uid="{00000000-0002-0000-0200-000000000000}">
      <formula1>"Open,In progress,Confirmed,Closed"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KB Audit</vt:lpstr>
      <vt:lpstr>Client Follow-up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Tanmoy bhowmick</cp:lastModifiedBy>
  <dcterms:modified xsi:type="dcterms:W3CDTF">2026-08-19T12:02:07Z</dcterms:modified>
</cp:coreProperties>
</file>